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报关单" sheetId="1" r:id="rId1"/>
    <sheet name="发票" sheetId="3" r:id="rId2"/>
    <sheet name="箱单" sheetId="4" r:id="rId3"/>
    <sheet name="合同" sheetId="2" r:id="rId4"/>
  </sheets>
  <definedNames>
    <definedName name="_xlnm.Print_Area" localSheetId="1">发票!$A$1:$H$63</definedName>
    <definedName name="_xlnm.Print_Area" localSheetId="3">合同!$A$1:$I$94</definedName>
    <definedName name="_xlnm.Print_Area" localSheetId="2">箱单!$A$1:$G$63</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<sst xmlns="http://schemas.openxmlformats.org/spreadsheetml/2006/main" count="227" uniqueCount="204">
  <si>
    <t>中华人民共和国海关出口货物报关单</t>
  </si>
  <si>
    <t>预录入编号：</t>
  </si>
  <si>
    <t>申报口岸:</t>
  </si>
  <si>
    <t>海关编号:</t>
  </si>
  <si>
    <t>境内发货人</t>
  </si>
  <si>
    <t>{companyname}</t>
  </si>
  <si>
    <t>出境关别</t>
  </si>
  <si>
    <t>(    )</t>
  </si>
  <si>
    <t>出口日期</t>
  </si>
  <si>
    <t>申报日期</t>
  </si>
  <si>
    <t>备案号</t>
  </si>
  <si>
    <t>签约地点：</t>
  </si>
  <si>
    <t>深圳</t>
  </si>
  <si>
    <t>{code}</t>
  </si>
  <si>
    <t>{exitcustoms}</t>
  </si>
  <si>
    <t>成交方式:</t>
  </si>
  <si>
    <t>SHENZHEN</t>
  </si>
  <si>
    <t>付款条件：</t>
  </si>
  <si>
    <t>电汇</t>
  </si>
  <si>
    <t>境外收货人</t>
  </si>
  <si>
    <t>运输方式</t>
  </si>
  <si>
    <t>运输工具名称及航次号</t>
  </si>
  <si>
    <t>提运单号</t>
  </si>
  <si>
    <t>卖方公司：</t>
  </si>
  <si>
    <t>Amazon</t>
  </si>
  <si>
    <t>海路</t>
  </si>
  <si>
    <t>卖方地址：</t>
  </si>
  <si>
    <t>生产销售单位</t>
  </si>
  <si>
    <t>监管方式</t>
  </si>
  <si>
    <t>征免性质</t>
  </si>
  <si>
    <t>许可证号</t>
  </si>
  <si>
    <t>卖方电话：</t>
  </si>
  <si>
    <t>卖方传真：</t>
  </si>
  <si>
    <t>跨境电商出口海外仓</t>
  </si>
  <si>
    <t>一般征税</t>
  </si>
  <si>
    <t>{portnumber}</t>
  </si>
  <si>
    <t>买方公司：</t>
  </si>
  <si>
    <t>LEXIBOOK AMERICA INC.</t>
  </si>
  <si>
    <t>合同协议号</t>
  </si>
  <si>
    <t>贸易国(地区)</t>
  </si>
  <si>
    <t>运抵国(地区)</t>
  </si>
  <si>
    <t>指运港</t>
  </si>
  <si>
    <t>离境口岸</t>
  </si>
  <si>
    <t>买方地址：</t>
  </si>
  <si>
    <t>{number}</t>
  </si>
  <si>
    <t>{country}</t>
  </si>
  <si>
    <t>买方电话：</t>
  </si>
  <si>
    <t>买方传真：</t>
  </si>
  <si>
    <t>包装种类</t>
  </si>
  <si>
    <t>件数</t>
  </si>
  <si>
    <t>毛重（千克）</t>
  </si>
  <si>
    <t>净重（千克）</t>
  </si>
  <si>
    <t>成交方式</t>
  </si>
  <si>
    <t>( FOB )</t>
  </si>
  <si>
    <t>运费</t>
  </si>
  <si>
    <t>保费</t>
  </si>
  <si>
    <t>杂费</t>
  </si>
  <si>
    <t>报关简称：</t>
  </si>
  <si>
    <t>报关全称：</t>
  </si>
  <si>
    <t>( 纸箱   )</t>
  </si>
  <si>
    <t>{totalbox}</t>
  </si>
  <si>
    <t>{totalboxweight}</t>
  </si>
  <si>
    <t>{totalweight}</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</si>
  <si>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</si>
  <si>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</si>
  <si>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</si>
  <si>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</si>
  <si>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</si>
  <si>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</si>
  <si>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</si>
  <si>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</si>
  <si>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</si>
  <si>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柜号：</t>
  </si>
  <si>
    <t>检疫局网址-编码查询：</t>
  </si>
  <si>
    <t>https://e-service.shciq.gov.cn/shesp/</t>
  </si>
  <si>
    <t>备注：</t>
  </si>
  <si>
    <t xml:space="preserve">N/M  </t>
  </si>
  <si>
    <t>查申报要素网址：</t>
  </si>
  <si>
    <t>http://www.hscode.net/IntegrateQueries/QueryYS/</t>
  </si>
  <si>
    <t>合计：</t>
  </si>
  <si>
    <t>贸易国：出口是指合同买方所在的国家（地区），需填写准确，以后可能会影响收汇。</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</si>
  <si>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</si>
  <si>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</si>
  <si>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</si>
  <si>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</si>
  <si>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</si>
  <si>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</si>
  <si>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</si>
  <si>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</si>
  <si>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</si>
  <si>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</si>
  <si>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</si>
  <si>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</si>
  <si>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</si>
  <si>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</si>
  <si>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</si>
  <si>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</si>
  <si>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</si>
  <si>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{list.index}</t>
  </si>
  <si>
    <t>{list.model}</t>
  </si>
  <si>
    <t>{list.materialcn}</t>
  </si>
  <si>
    <t>{list.weight}</t>
  </si>
  <si>
    <t>{list.weightunit}</t>
  </si>
  <si>
    <t>{list.itemprice}</t>
  </si>
  <si>
    <t>中国</t>
  </si>
  <si>
    <t>深圳特区</t>
  </si>
  <si>
    <t>照章征税</t>
  </si>
  <si>
    <t>{list.name}</t>
  </si>
  <si>
    <t>{list.qty2}</t>
  </si>
  <si>
    <t>{list.unit2}</t>
  </si>
  <si>
    <t>{list.price}</t>
  </si>
  <si>
    <t>{list.qty}</t>
  </si>
  <si>
    <t>{list.unit}</t>
  </si>
  <si>
    <t>{list.currency}</t>
  </si>
  <si>
    <t>發票
INVOICE</t>
  </si>
  <si>
    <t>編   號
NO:</t>
  </si>
  <si>
    <t>商  號
Sold to Massrs:</t>
  </si>
  <si>
    <t>日  期
DATE:</t>
  </si>
  <si>
    <t>成交方式：</t>
  </si>
  <si>
    <t>標記號碼
Mark &amp; No</t>
  </si>
  <si>
    <t>貨物名稱
Description</t>
  </si>
  <si>
    <t>數量
Quantity</t>
  </si>
  <si>
    <t>單價
Unit price</t>
  </si>
  <si>
    <t>總金額
Amount</t>
  </si>
  <si>
    <t xml:space="preserve">
N/M</t>
  </si>
  <si>
    <t>TOTAL:</t>
  </si>
  <si>
    <t>唛头
Marks</t>
  </si>
  <si>
    <t>.</t>
  </si>
  <si>
    <t xml:space="preserve">  装  箱  单
  PACKING LIST</t>
  </si>
  <si>
    <r>
      <rPr>
        <sz val="12"/>
        <rFont val="宋体"/>
        <charset val="134"/>
      </rPr>
      <t>日期</t>
    </r>
    <r>
      <rPr>
        <sz val="12"/>
        <rFont val="Times New Roman"/>
        <charset val="0"/>
      </rPr>
      <t xml:space="preserve">
Date</t>
    </r>
    <r>
      <rPr>
        <sz val="12"/>
        <rFont val="宋体"/>
        <charset val="134"/>
      </rPr>
      <t>：</t>
    </r>
  </si>
  <si>
    <r>
      <rPr>
        <sz val="12"/>
        <rFont val="宋体"/>
        <charset val="134"/>
      </rPr>
      <t>发票编号</t>
    </r>
    <r>
      <rPr>
        <sz val="12"/>
        <rFont val="Times New Roman"/>
        <charset val="0"/>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</si>
  <si>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</si>
  <si>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0"/>
      </rPr>
      <t xml:space="preserve">
Contract No:</t>
    </r>
  </si>
  <si>
    <t xml:space="preserve">
</t>
  </si>
  <si>
    <r>
      <rPr>
        <sz val="12"/>
        <rFont val="宋体"/>
        <charset val="134"/>
      </rPr>
      <t>船名</t>
    </r>
    <r>
      <rPr>
        <sz val="12"/>
        <rFont val="Times New Roman"/>
        <charset val="0"/>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</si>
  <si>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</si>
  <si>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</si>
  <si>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</si>
  <si>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</si>
  <si>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</si>
  <si>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</si>
  <si>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</si>
  <si>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</si>
  <si>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</si>
  <si>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0"/>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0"/>
      </rPr>
      <t>CONTRACT</t>
    </r>
  </si>
  <si>
    <r>
      <rPr>
        <sz val="11"/>
        <rFont val="Times New Roman"/>
        <charset val="0"/>
      </rPr>
      <t xml:space="preserve">       </t>
    </r>
    <r>
      <rPr>
        <sz val="11"/>
        <rFont val="宋体"/>
        <charset val="134"/>
      </rPr>
      <t>卖</t>
    </r>
    <r>
      <rPr>
        <sz val="11"/>
        <rFont val="Times New Roman"/>
        <charset val="0"/>
      </rPr>
      <t xml:space="preserve">    </t>
    </r>
    <r>
      <rPr>
        <sz val="11"/>
        <rFont val="宋体"/>
        <charset val="134"/>
      </rPr>
      <t>方：</t>
    </r>
  </si>
  <si>
    <t xml:space="preserve">    Sellers:</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</si>
  <si>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</si>
  <si>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Address:  </t>
  </si>
  <si>
    <r>
      <rPr>
        <sz val="11"/>
        <rFont val="Times New Roman"/>
        <charset val="0"/>
      </rPr>
      <t xml:space="preserve">    </t>
    </r>
    <r>
      <rPr>
        <sz val="11"/>
        <rFont val="宋体"/>
        <charset val="134"/>
      </rPr>
      <t>合同号码</t>
    </r>
  </si>
  <si>
    <r>
      <rPr>
        <sz val="11"/>
        <rFont val="Times New Roman"/>
        <charset val="0"/>
      </rPr>
      <t xml:space="preserve">    </t>
    </r>
    <r>
      <rPr>
        <sz val="11"/>
        <rFont val="宋体"/>
        <charset val="134"/>
      </rPr>
      <t>电</t>
    </r>
    <r>
      <rPr>
        <sz val="11"/>
        <rFont val="Times New Roman"/>
        <charset val="0"/>
      </rPr>
      <t xml:space="preserve">    </t>
    </r>
    <r>
      <rPr>
        <sz val="11"/>
        <rFont val="宋体"/>
        <charset val="134"/>
      </rPr>
      <t>话：</t>
    </r>
    <r>
      <rPr>
        <sz val="11"/>
        <rFont val="Times New Roman"/>
        <charset val="0"/>
      </rPr>
      <t xml:space="preserve">     </t>
    </r>
  </si>
  <si>
    <t>传  真</t>
  </si>
  <si>
    <t xml:space="preserve">  Contract No:</t>
  </si>
  <si>
    <t xml:space="preserve">    TEL:</t>
  </si>
  <si>
    <t>FAX:</t>
  </si>
  <si>
    <r>
      <rPr>
        <sz val="11"/>
        <rFont val="Times New Roman"/>
        <charset val="0"/>
      </rPr>
      <t xml:space="preserve">    </t>
    </r>
    <r>
      <rPr>
        <sz val="11"/>
        <rFont val="宋体"/>
        <charset val="134"/>
      </rPr>
      <t>日</t>
    </r>
    <r>
      <rPr>
        <sz val="11"/>
        <rFont val="Times New Roman"/>
        <charset val="0"/>
      </rPr>
      <t xml:space="preserve">     </t>
    </r>
    <r>
      <rPr>
        <sz val="11"/>
        <rFont val="宋体"/>
        <charset val="134"/>
      </rPr>
      <t>期</t>
    </r>
  </si>
  <si>
    <r>
      <rPr>
        <sz val="11"/>
        <rFont val="宋体"/>
        <charset val="134"/>
      </rPr>
      <t xml:space="preserve">  买</t>
    </r>
    <r>
      <rPr>
        <sz val="11"/>
        <rFont val="Times New Roman"/>
        <charset val="0"/>
      </rPr>
      <t xml:space="preserve">  </t>
    </r>
    <r>
      <rPr>
        <sz val="11"/>
        <rFont val="宋体"/>
        <charset val="134"/>
      </rPr>
      <t>方：</t>
    </r>
  </si>
  <si>
    <t xml:space="preserve">    Date:</t>
  </si>
  <si>
    <r>
      <rPr>
        <sz val="11"/>
        <rFont val="Times New Roman"/>
        <charset val="0"/>
      </rPr>
      <t xml:space="preserve">  Buyers</t>
    </r>
    <r>
      <rPr>
        <sz val="11"/>
        <rFont val="宋体"/>
        <charset val="134"/>
      </rPr>
      <t>：</t>
    </r>
  </si>
  <si>
    <t>签约地点</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</si>
  <si>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</si>
  <si>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Signed at:</t>
  </si>
  <si>
    <t>Address:</t>
  </si>
  <si>
    <t>成交方式：
Trade Term:</t>
  </si>
  <si>
    <r>
      <rPr>
        <sz val="11"/>
        <rFont val="Times New Roman"/>
        <charset val="0"/>
      </rPr>
      <t xml:space="preserve"> </t>
    </r>
    <r>
      <rPr>
        <sz val="11"/>
        <rFont val="宋体"/>
        <charset val="134"/>
      </rPr>
      <t xml:space="preserve">电   话 </t>
    </r>
  </si>
  <si>
    <r>
      <rPr>
        <sz val="10"/>
        <rFont val="Times New Roman"/>
        <charset val="0"/>
      </rPr>
      <t xml:space="preserve">  </t>
    </r>
    <r>
      <rPr>
        <sz val="10"/>
        <rFont val="宋体"/>
        <charset val="134"/>
      </rPr>
      <t>传</t>
    </r>
    <r>
      <rPr>
        <sz val="10"/>
        <rFont val="Times New Roman"/>
        <charset val="0"/>
      </rPr>
      <t xml:space="preserve">  </t>
    </r>
    <r>
      <rPr>
        <sz val="10"/>
        <rFont val="宋体"/>
        <charset val="134"/>
      </rPr>
      <t>真</t>
    </r>
    <r>
      <rPr>
        <sz val="10"/>
        <rFont val="Times New Roman"/>
        <charset val="0"/>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</si>
  <si>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</si>
  <si>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</si>
  <si>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</si>
  <si>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0"/>
      </rPr>
      <t>(1)</t>
    </r>
    <r>
      <rPr>
        <sz val="11"/>
        <rFont val="宋体"/>
        <charset val="134"/>
      </rPr>
      <t>货物名称</t>
    </r>
  </si>
  <si>
    <r>
      <rPr>
        <sz val="11"/>
        <rFont val="Times New Roman"/>
        <charset val="0"/>
      </rPr>
      <t xml:space="preserve">(2) </t>
    </r>
    <r>
      <rPr>
        <sz val="11"/>
        <rFont val="宋体"/>
        <charset val="134"/>
      </rPr>
      <t>数</t>
    </r>
    <r>
      <rPr>
        <sz val="11"/>
        <rFont val="Times New Roman"/>
        <charset val="0"/>
      </rPr>
      <t xml:space="preserve"> </t>
    </r>
    <r>
      <rPr>
        <sz val="11"/>
        <rFont val="宋体"/>
        <charset val="134"/>
      </rPr>
      <t>量</t>
    </r>
  </si>
  <si>
    <r>
      <rPr>
        <sz val="11"/>
        <rFont val="Times New Roman"/>
        <charset val="0"/>
      </rPr>
      <t>(3)</t>
    </r>
    <r>
      <rPr>
        <sz val="11"/>
        <rFont val="宋体"/>
        <charset val="134"/>
      </rPr>
      <t>单</t>
    </r>
    <r>
      <rPr>
        <sz val="11"/>
        <rFont val="Times New Roman"/>
        <charset val="0"/>
      </rPr>
      <t xml:space="preserve"> </t>
    </r>
    <r>
      <rPr>
        <sz val="11"/>
        <rFont val="宋体"/>
        <charset val="134"/>
      </rPr>
      <t>位</t>
    </r>
  </si>
  <si>
    <r>
      <rPr>
        <sz val="11"/>
        <rFont val="Times New Roman"/>
        <charset val="0"/>
      </rPr>
      <t>(4)</t>
    </r>
    <r>
      <rPr>
        <sz val="11"/>
        <rFont val="宋体"/>
        <charset val="134"/>
      </rPr>
      <t>单价</t>
    </r>
  </si>
  <si>
    <r>
      <rPr>
        <sz val="11"/>
        <rFont val="Times New Roman"/>
        <charset val="0"/>
      </rPr>
      <t xml:space="preserve"> (5)   </t>
    </r>
    <r>
      <rPr>
        <sz val="11"/>
        <rFont val="宋体"/>
        <charset val="134"/>
      </rPr>
      <t>金</t>
    </r>
    <r>
      <rPr>
        <sz val="11"/>
        <rFont val="Times New Roman"/>
        <charset val="0"/>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</si>
  <si>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</si>
  <si>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</si>
  <si>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</si>
  <si>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</si>
  <si>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</si>
  <si>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0"/>
      </rPr>
      <t xml:space="preserve"> 2 %</t>
    </r>
    <r>
      <rPr>
        <sz val="10"/>
        <rFont val="宋体"/>
        <charset val="134"/>
      </rPr>
      <t>的增减。</t>
    </r>
  </si>
  <si>
    <r>
      <rPr>
        <b/>
        <sz val="12"/>
        <rFont val="Times New Roman"/>
        <charset val="0"/>
      </rPr>
      <t xml:space="preserve">   </t>
    </r>
    <r>
      <rPr>
        <b/>
        <sz val="12"/>
        <rFont val="宋体"/>
        <charset val="134"/>
      </rPr>
      <t>总</t>
    </r>
    <r>
      <rPr>
        <b/>
        <sz val="12"/>
        <rFont val="Times New Roman"/>
        <charset val="0"/>
      </rPr>
      <t xml:space="preserve">      </t>
    </r>
    <r>
      <rPr>
        <b/>
        <sz val="12"/>
        <rFont val="宋体"/>
        <charset val="134"/>
      </rPr>
      <t>值</t>
    </r>
  </si>
  <si>
    <t xml:space="preserve">2  % more or less both in amount and quantity allowed.                    </t>
  </si>
  <si>
    <t>Total Amount:</t>
  </si>
  <si>
    <t>(6)合同总值（大写）</t>
  </si>
  <si>
    <t xml:space="preserve">Total Value in Word:  FORTY TWO THOUSAND FOUR HUNDRED AND SEVENTY THREE AND CENTS TWENTY EIGHT ONLY. </t>
  </si>
  <si>
    <r>
      <rPr>
        <sz val="12"/>
        <rFont val="Times New Roman"/>
        <charset val="0"/>
      </rPr>
      <t>(7)</t>
    </r>
    <r>
      <rPr>
        <sz val="12"/>
        <rFont val="宋体"/>
        <charset val="134"/>
      </rPr>
      <t>包装及唛头</t>
    </r>
  </si>
  <si>
    <r>
      <rPr>
        <sz val="10"/>
        <rFont val="Times New Roman"/>
        <charset val="0"/>
      </rPr>
      <t xml:space="preserve">Packing and shipping Marks:  </t>
    </r>
    <r>
      <rPr>
        <sz val="12"/>
        <rFont val="Times New Roman"/>
        <charset val="0"/>
      </rPr>
      <t xml:space="preserve"> </t>
    </r>
  </si>
  <si>
    <r>
      <rPr>
        <sz val="12"/>
        <rFont val="Times New Roman"/>
        <charset val="0"/>
      </rPr>
      <t>(8)</t>
    </r>
    <r>
      <rPr>
        <sz val="12"/>
        <rFont val="宋体"/>
        <charset val="134"/>
      </rPr>
      <t>装运期</t>
    </r>
  </si>
  <si>
    <t xml:space="preserve">Time of Shipment:    </t>
  </si>
  <si>
    <t>之前</t>
  </si>
  <si>
    <r>
      <rPr>
        <sz val="12"/>
        <rFont val="Times New Roman"/>
        <charset val="0"/>
      </rPr>
      <t>(9)</t>
    </r>
    <r>
      <rPr>
        <sz val="12"/>
        <rFont val="宋体"/>
        <charset val="134"/>
      </rPr>
      <t>装运口岸和目的地</t>
    </r>
    <r>
      <rPr>
        <sz val="12"/>
        <rFont val="Times New Roman"/>
        <charset val="0"/>
      </rPr>
      <t xml:space="preserve">           </t>
    </r>
    <r>
      <rPr>
        <sz val="12"/>
        <rFont val="宋体"/>
        <charset val="134"/>
      </rPr>
      <t>深圳</t>
    </r>
    <r>
      <rPr>
        <sz val="12"/>
        <rFont val="Times New Roman"/>
        <charset val="0"/>
      </rPr>
      <t>---</t>
    </r>
  </si>
  <si>
    <t>准许分批与转船。</t>
  </si>
  <si>
    <t>Loading Port &amp; Destination:From  Shenzhen-- To Hongkong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</si>
  <si>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</si>
  <si>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</si>
  <si>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</si>
  <si>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</si>
  <si>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0"/>
      </rPr>
      <t>(12)</t>
    </r>
    <r>
      <rPr>
        <sz val="12"/>
        <rFont val="宋体"/>
        <charset val="134"/>
      </rPr>
      <t>装运标记</t>
    </r>
  </si>
  <si>
    <t>Shipping Marks:</t>
  </si>
  <si>
    <r>
      <rPr>
        <sz val="12"/>
        <rFont val="Times New Roman"/>
        <charset val="0"/>
      </rPr>
      <t xml:space="preserve">    </t>
    </r>
    <r>
      <rPr>
        <sz val="12"/>
        <rFont val="宋体"/>
        <charset val="134"/>
      </rPr>
      <t>买</t>
    </r>
    <r>
      <rPr>
        <sz val="12"/>
        <rFont val="Times New Roman"/>
        <charset val="0"/>
      </rPr>
      <t xml:space="preserve">  </t>
    </r>
    <r>
      <rPr>
        <sz val="12"/>
        <rFont val="宋体"/>
        <charset val="134"/>
      </rPr>
      <t>方</t>
    </r>
  </si>
  <si>
    <r>
      <rPr>
        <sz val="12"/>
        <rFont val="Times New Roman"/>
        <charset val="0"/>
      </rPr>
      <t xml:space="preserve">    </t>
    </r>
    <r>
      <rPr>
        <sz val="12"/>
        <rFont val="宋体"/>
        <charset val="134"/>
      </rPr>
      <t>卖</t>
    </r>
    <r>
      <rPr>
        <sz val="12"/>
        <rFont val="Times New Roman"/>
        <charset val="0"/>
      </rPr>
      <t xml:space="preserve">  </t>
    </r>
    <r>
      <rPr>
        <sz val="12"/>
        <rFont val="宋体"/>
        <charset val="134"/>
      </rPr>
      <t>方</t>
    </r>
  </si>
  <si>
    <t>THE BUYERS</t>
  </si>
  <si>
    <r>
      <rPr>
        <sz val="12"/>
        <rFont val="Times New Roman"/>
        <charset val="0"/>
      </rPr>
      <t xml:space="preserve">  </t>
    </r>
    <r>
      <rPr>
        <u/>
        <sz val="12"/>
        <rFont val="Times New Roman"/>
        <charset val="0"/>
      </rPr>
      <t>THE SELLERS</t>
    </r>
  </si>
  <si>
    <t>(Authorized Signature)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</si>
</sst>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 numFmtId="177" formatCode="[$HKD]\ #,##0.00"/>
    <numFmt numFmtId="178" formatCode="#,##0.00_);[Red]\(#,##0.00\)"/>
    <numFmt numFmtId="179" formatCode="[DBNum2][$-804]\ General&quot;元整&quot;"/>
    <numFmt numFmtId="180" formatCode="yyyy&quot;年&quot;m&quot;月&quot;d&quot;日&quot;;@"/>
    <numFmt numFmtId="181" formatCode="0.000_);[Red]\(0.000\)"/>
  </numFmts>
  <fonts count="57">
    <font>
      <sz val="12"/>
      <name val="宋体"/>
      <charset val="134"/>
    </font>
    <font>
      <sz val="12"/>
      <name val="Times New Roman"/>
      <charset val="0"/>
    </font>
    <font>
      <b/>
      <sz val="24"/>
      <name val="宋体"/>
      <charset val="134"/>
    </font>
    <font>
      <sz val="24"/>
      <name val="宋体"/>
      <charset val="134"/>
    </font>
    <font>
      <sz val="11"/>
      <name val="Times New Roman"/>
      <charset val="0"/>
    </font>
    <font>
      <sz val="11"/>
      <name val="宋体"/>
      <charset val="134"/>
    </font>
    <font>
      <sz val="10"/>
      <name val="Times New Roman"/>
      <charset val="0"/>
    </font>
    <font>
      <sz val="10"/>
      <name val="宋体"/>
      <charset val="134"/>
    </font>
    <font>
      <sz val="10"/>
      <name val="宋体"/>
      <charset val="134"/>
      <scheme val="minor"/>
    </font>
    <font>
      <b/>
      <sz val="12"/>
      <name val="Times New Roman"/>
      <charset val="0"/>
    </font>
    <font>
      <b/>
      <sz val="10"/>
      <name val="Times New Roman"/>
      <charset val="0"/>
    </font>
    <font>
      <b/>
      <sz val="12"/>
      <name val="宋体"/>
      <charset val="134"/>
    </font>
    <font>
      <sz val="9"/>
      <name val="Times New Roman"/>
      <charset val="0"/>
    </font>
    <font>
      <u/>
      <sz val="12"/>
      <name val="Times New Roman"/>
      <charset val="0"/>
    </font>
    <font>
      <b/>
      <sz val="22"/>
      <name val="宋体"/>
      <charset val="134"/>
    </font>
    <font>
      <sz val="22"/>
      <name val="宋体"/>
      <charset val="134"/>
    </font>
    <font>
      <sz val="20"/>
      <name val="Times New Roman"/>
      <charset val="0"/>
    </font>
    <font>
      <sz val="16"/>
      <name val="Times New Roman"/>
      <charset val="0"/>
    </font>
    <font>
      <sz val="12"/>
      <color indexed="10"/>
      <name val="宋体"/>
      <charset val="134"/>
    </font>
    <font>
      <b/>
      <sz val="14"/>
      <name val="宋体"/>
      <charset val="134"/>
    </font>
    <font>
      <sz val="10"/>
      <color theme="1"/>
      <name val="宋体"/>
      <charset val="134"/>
    </font>
    <font>
      <sz val="11"/>
      <color theme="1"/>
      <name val="宋体"/>
      <charset val="134"/>
    </font>
    <font>
      <sz val="12"/>
      <color theme="1"/>
      <name val="宋体"/>
      <charset val="134"/>
    </font>
    <font>
      <b/>
      <sz val="20"/>
      <color theme="1"/>
      <name val="宋体"/>
      <charset val="134"/>
    </font>
    <font>
      <sz val="10"/>
      <color rgb="FFFF0000"/>
      <name val="宋体"/>
      <charset val="134"/>
    </font>
    <font>
      <b/>
      <sz val="12"/>
      <color rgb="FFFF0000"/>
      <name val="宋体"/>
      <charset val="134"/>
    </font>
    <font>
      <sz val="12"/>
      <color rgb="FFFF0000"/>
      <name val="宋体"/>
      <charset val="134"/>
    </font>
    <font>
      <b/>
      <sz val="11"/>
      <color theme="1"/>
      <name val="宋体"/>
      <charset val="134"/>
    </font>
    <font>
      <b/>
      <sz val="12"/>
      <color theme="1"/>
      <name val="宋体"/>
      <charset val="134"/>
    </font>
    <font>
      <b/>
      <sz val="10"/>
      <color theme="1"/>
      <name val="宋体"/>
      <charset val="134"/>
    </font>
    <font>
      <sz val="10"/>
      <color theme="1"/>
      <name val="宋体"/>
      <charset val="134"/>
      <scheme val="minor"/>
    </font>
    <font>
      <sz val="6"/>
      <color theme="1"/>
      <name val="宋体"/>
      <charset val="134"/>
      <scheme val="minor"/>
    </font>
    <font>
      <u/>
      <sz val="11"/>
      <color theme="1"/>
      <name val="宋体"/>
      <charset val="134"/>
      <scheme val="minor"/>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9"/>
      <name val="宋体"/>
      <charset val="134"/>
    </font>
    <font>
      <b/>
      <sz val="24"/>
      <name val="Times New Roman"/>
      <charset val="0"/>
    </font>
    <font>
      <b/>
      <u/>
      <sz val="22"/>
      <name val="宋体"/>
      <charset val="134"/>
    </font>
    <font>
      <u/>
      <sz val="20"/>
      <name val="Times New Roman"/>
      <charset val="0"/>
    </font>
  </fonts>
  <fills count="35">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right/>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hair">
        <color auto="1"/>
      </top>
      <bottom/>
      <diagonal/>
    </border>
    <border>
      <left style="thin">
        <color auto="1"/>
      </left>
      <right/>
      <top/>
      <bottom style="hair">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medium">
        <color auto="1"/>
      </left>
      <right/>
      <top/>
      <bottom style="thin">
        <color auto="1"/>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bottom style="thin">
        <color indexed="8"/>
      </bottom>
      <diagonal/>
    </border>
    <border>
      <left/>
      <right style="thin">
        <color auto="1"/>
      </right>
      <top style="medium">
        <color auto="1"/>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4" borderId="46"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47" applyNumberFormat="0" applyFill="0" applyAlignment="0" applyProtection="0">
      <alignment vertical="center"/>
    </xf>
    <xf numFmtId="0" fontId="40" fillId="0" borderId="47" applyNumberFormat="0" applyFill="0" applyAlignment="0" applyProtection="0">
      <alignment vertical="center"/>
    </xf>
    <xf numFmtId="0" fontId="41" fillId="0" borderId="48" applyNumberFormat="0" applyFill="0" applyAlignment="0" applyProtection="0">
      <alignment vertical="center"/>
    </xf>
    <xf numFmtId="0" fontId="41" fillId="0" borderId="0" applyNumberFormat="0" applyFill="0" applyBorder="0" applyAlignment="0" applyProtection="0">
      <alignment vertical="center"/>
    </xf>
    <xf numFmtId="0" fontId="42" fillId="5" borderId="49" applyNumberFormat="0" applyAlignment="0" applyProtection="0">
      <alignment vertical="center"/>
    </xf>
    <xf numFmtId="0" fontId="43" fillId="6" borderId="50" applyNumberFormat="0" applyAlignment="0" applyProtection="0">
      <alignment vertical="center"/>
    </xf>
    <xf numFmtId="0" fontId="44" fillId="6" borderId="49" applyNumberFormat="0" applyAlignment="0" applyProtection="0">
      <alignment vertical="center"/>
    </xf>
    <xf numFmtId="0" fontId="45" fillId="7" borderId="51" applyNumberFormat="0" applyAlignment="0" applyProtection="0">
      <alignment vertical="center"/>
    </xf>
    <xf numFmtId="0" fontId="46" fillId="0" borderId="52" applyNumberFormat="0" applyFill="0" applyAlignment="0" applyProtection="0">
      <alignment vertical="center"/>
    </xf>
    <xf numFmtId="0" fontId="47" fillId="0" borderId="53" applyNumberFormat="0" applyFill="0" applyAlignment="0" applyProtection="0">
      <alignment vertical="center"/>
    </xf>
    <xf numFmtId="0" fontId="48" fillId="8" borderId="0" applyNumberFormat="0" applyBorder="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2"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cellStyleXfs>
  <cellXfs count="292">
    <xf numFmtId="0" fontId="0" fillId="0" borderId="0" xfId="0">
      <alignment vertical="center"/>
    </xf>
    <xf numFmtId="0" fontId="1" fillId="0" borderId="0" xfId="0" applyFont="1" applyBorder="1">
      <alignment vertical="center"/>
    </xf>
    <xf numFmtId="0" fontId="1" fillId="0" borderId="0" xfId="0" applyFont="1">
      <alignment vertical="center"/>
    </xf>
    <xf numFmtId="0" fontId="2" fillId="0" borderId="0" xfId="0"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4" fillId="0" borderId="0" xfId="0" applyFont="1" applyBorder="1" applyAlignment="1" applyProtection="1">
      <alignment horizontal="center" vertical="center"/>
    </xf>
    <xf numFmtId="0" fontId="5" fillId="0" borderId="0" xfId="0" applyFont="1" applyBorder="1" applyAlignment="1" applyProtection="1">
      <alignment horizontal="left" vertical="center" wrapText="1"/>
    </xf>
    <xf numFmtId="0" fontId="4" fillId="0" borderId="0" xfId="0" applyFont="1" applyBorder="1" applyAlignment="1" applyProtection="1">
      <alignment horizontal="right" vertical="center"/>
    </xf>
    <xf numFmtId="0" fontId="1" fillId="0" borderId="0" xfId="0" applyFont="1" applyAlignment="1" applyProtection="1">
      <alignment horizontal="center" vertical="center"/>
    </xf>
    <xf numFmtId="0" fontId="4" fillId="0" borderId="0" xfId="0" applyFont="1" applyAlignment="1" applyProtection="1">
      <alignment horizontal="center" vertical="center"/>
    </xf>
    <xf numFmtId="0" fontId="5" fillId="0" borderId="1" xfId="0" applyFont="1" applyBorder="1" applyAlignment="1" applyProtection="1">
      <alignment horizontal="left" vertical="center" wrapText="1"/>
    </xf>
    <xf numFmtId="0" fontId="4" fillId="0" borderId="0" xfId="0" applyFont="1" applyBorder="1" applyAlignment="1" applyProtection="1">
      <alignment horizontal="right" vertical="center" wrapText="1"/>
    </xf>
    <xf numFmtId="0" fontId="1" fillId="0" borderId="0" xfId="0" applyFont="1" applyBorder="1" applyAlignment="1" applyProtection="1">
      <alignment horizontal="center" vertical="center" wrapText="1"/>
    </xf>
    <xf numFmtId="0" fontId="4" fillId="0" borderId="0" xfId="0" applyFont="1" applyBorder="1" applyAlignment="1" applyProtection="1">
      <alignment horizontal="center" vertical="center" wrapText="1"/>
    </xf>
    <xf numFmtId="0" fontId="5" fillId="0" borderId="2" xfId="0" applyFont="1" applyBorder="1" applyAlignment="1" applyProtection="1">
      <alignment horizontal="left" vertical="center" wrapText="1"/>
    </xf>
    <xf numFmtId="0" fontId="4" fillId="0" borderId="2" xfId="0" applyFont="1" applyBorder="1" applyAlignment="1" applyProtection="1">
      <alignment horizontal="left" vertical="center" wrapText="1"/>
    </xf>
    <xf numFmtId="0" fontId="6" fillId="0" borderId="0" xfId="0" applyFont="1" applyBorder="1" applyAlignment="1" applyProtection="1">
      <alignment horizontal="right" vertical="center"/>
    </xf>
    <xf numFmtId="0" fontId="6" fillId="0" borderId="0" xfId="0" applyFont="1" applyBorder="1" applyAlignment="1" applyProtection="1">
      <alignment horizontal="center" vertical="center"/>
    </xf>
    <xf numFmtId="0" fontId="4" fillId="0" borderId="1" xfId="0" applyFont="1" applyBorder="1" applyAlignment="1" applyProtection="1">
      <alignment horizontal="left" vertical="center" wrapText="1"/>
    </xf>
    <xf numFmtId="0" fontId="4" fillId="0" borderId="2" xfId="0" applyFont="1" applyBorder="1" applyAlignment="1" applyProtection="1">
      <alignment horizontal="center" wrapText="1"/>
    </xf>
    <xf numFmtId="0" fontId="5" fillId="0" borderId="0" xfId="0" applyFont="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6" fillId="0" borderId="0" xfId="0" applyFont="1" applyBorder="1" applyAlignment="1" applyProtection="1">
      <alignment horizontal="center" vertical="center" wrapText="1"/>
    </xf>
    <xf numFmtId="0" fontId="4" fillId="0" borderId="1" xfId="0" applyFont="1" applyBorder="1" applyAlignment="1" applyProtection="1">
      <alignment horizontal="center" wrapText="1"/>
    </xf>
    <xf numFmtId="0" fontId="4" fillId="0" borderId="1" xfId="0" applyFont="1" applyBorder="1" applyAlignment="1" applyProtection="1">
      <alignment horizontal="center" vertical="center" wrapText="1"/>
    </xf>
    <xf numFmtId="0" fontId="5" fillId="0" borderId="0" xfId="0" applyFont="1" applyBorder="1" applyAlignment="1" applyProtection="1">
      <alignment horizontal="center" vertical="center" wrapText="1"/>
    </xf>
    <xf numFmtId="0" fontId="5" fillId="0" borderId="2" xfId="0" applyFont="1" applyBorder="1" applyAlignment="1" applyProtection="1">
      <alignment horizontal="left" vertical="center"/>
    </xf>
    <xf numFmtId="14" fontId="1" fillId="0" borderId="0" xfId="0" applyNumberFormat="1" applyFont="1" applyFill="1" applyBorder="1" applyAlignment="1" applyProtection="1">
      <alignment horizontal="center" vertical="center" wrapText="1"/>
    </xf>
    <xf numFmtId="0" fontId="5" fillId="0" borderId="1" xfId="0" applyFont="1" applyBorder="1" applyAlignment="1" applyProtection="1">
      <alignment horizontal="left" vertical="center"/>
    </xf>
    <xf numFmtId="0" fontId="7" fillId="0" borderId="0" xfId="0" applyFont="1" applyBorder="1" applyAlignment="1" applyProtection="1">
      <alignment horizontal="right" vertical="center"/>
    </xf>
    <xf numFmtId="0" fontId="6"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8" fillId="0" borderId="0" xfId="0" applyFont="1" applyAlignment="1" applyProtection="1">
      <alignment horizontal="right" vertical="center" wrapText="1"/>
    </xf>
    <xf numFmtId="0" fontId="8" fillId="0" borderId="0" xfId="0" applyFont="1" applyAlignment="1" applyProtection="1">
      <alignment horizontal="center"/>
    </xf>
    <xf numFmtId="0" fontId="8" fillId="0" borderId="0" xfId="0" applyFont="1" applyAlignment="1" applyProtection="1">
      <alignment horizontal="left"/>
    </xf>
    <xf numFmtId="0" fontId="4" fillId="0" borderId="2" xfId="0" applyFont="1" applyBorder="1" applyAlignment="1" applyProtection="1">
      <alignment horizontal="center" vertical="center"/>
    </xf>
    <xf numFmtId="0" fontId="6" fillId="0" borderId="2" xfId="0" applyFont="1" applyBorder="1" applyAlignment="1" applyProtection="1">
      <alignment horizontal="center" vertical="center"/>
    </xf>
    <xf numFmtId="0" fontId="8" fillId="0" borderId="0" xfId="0" applyFont="1" applyAlignment="1" applyProtection="1">
      <alignment horizontal="right" vertical="center"/>
    </xf>
    <xf numFmtId="0" fontId="4" fillId="0" borderId="1" xfId="0" applyFont="1" applyBorder="1" applyAlignment="1" applyProtection="1">
      <alignment horizontal="center" vertical="center"/>
    </xf>
    <xf numFmtId="0" fontId="6" fillId="0" borderId="0" xfId="0" applyFont="1" applyBorder="1" applyProtection="1">
      <alignment vertical="center"/>
    </xf>
    <xf numFmtId="0" fontId="7" fillId="0" borderId="0" xfId="0" applyFont="1" applyBorder="1" applyProtection="1">
      <alignment vertical="center"/>
    </xf>
    <xf numFmtId="0" fontId="7" fillId="0" borderId="2" xfId="0" applyFont="1" applyBorder="1" applyProtection="1">
      <alignment vertical="center"/>
    </xf>
    <xf numFmtId="0" fontId="6" fillId="0" borderId="3" xfId="0" applyFont="1" applyBorder="1" applyAlignment="1" applyProtection="1">
      <alignment vertical="center" shrinkToFit="1"/>
    </xf>
    <xf numFmtId="0" fontId="4" fillId="0" borderId="4" xfId="0" applyFont="1" applyBorder="1" applyAlignment="1" applyProtection="1">
      <alignment horizontal="center" vertical="center"/>
    </xf>
    <xf numFmtId="0" fontId="4" fillId="0" borderId="5" xfId="0" applyFont="1" applyBorder="1" applyAlignment="1" applyProtection="1">
      <alignment horizontal="center" vertical="center"/>
    </xf>
    <xf numFmtId="0" fontId="4" fillId="0" borderId="6" xfId="0" applyFont="1" applyBorder="1" applyAlignment="1" applyProtection="1">
      <alignment horizontal="center" vertical="center"/>
    </xf>
    <xf numFmtId="0" fontId="4" fillId="0" borderId="7" xfId="0" applyFont="1" applyBorder="1" applyAlignment="1" applyProtection="1">
      <alignment horizontal="center" vertical="center"/>
    </xf>
    <xf numFmtId="0" fontId="4" fillId="0" borderId="8" xfId="0" applyFont="1" applyBorder="1" applyAlignment="1" applyProtection="1">
      <alignment horizontal="center" vertical="center"/>
    </xf>
    <xf numFmtId="0" fontId="4" fillId="0" borderId="9" xfId="0" applyFont="1" applyBorder="1" applyAlignment="1" applyProtection="1">
      <alignment horizontal="center" vertical="center"/>
    </xf>
    <xf numFmtId="0" fontId="4" fillId="0" borderId="10" xfId="0" applyFont="1" applyBorder="1" applyAlignment="1" applyProtection="1">
      <alignment horizontal="center" vertical="center"/>
    </xf>
    <xf numFmtId="0" fontId="5" fillId="0" borderId="11" xfId="0" applyFont="1" applyBorder="1" applyAlignment="1" applyProtection="1">
      <alignment horizontal="center" vertical="center" shrinkToFit="1"/>
    </xf>
    <xf numFmtId="0" fontId="5" fillId="0" borderId="12" xfId="0" applyFont="1" applyBorder="1" applyAlignment="1" applyProtection="1">
      <alignment horizontal="center" vertical="center" shrinkToFit="1"/>
    </xf>
    <xf numFmtId="0" fontId="1" fillId="0" borderId="13" xfId="0" applyNumberFormat="1" applyFont="1" applyBorder="1" applyAlignment="1" applyProtection="1">
      <alignment horizontal="center" vertical="center" shrinkToFit="1"/>
    </xf>
    <xf numFmtId="0" fontId="7" fillId="0" borderId="13" xfId="0" applyFont="1" applyBorder="1" applyAlignment="1" applyProtection="1">
      <alignment horizontal="center" vertical="center" shrinkToFit="1"/>
    </xf>
    <xf numFmtId="176" fontId="1" fillId="0" borderId="13" xfId="0" applyNumberFormat="1" applyFont="1" applyBorder="1" applyAlignment="1" applyProtection="1">
      <alignment horizontal="center" vertical="center" shrinkToFit="1"/>
    </xf>
    <xf numFmtId="0" fontId="1" fillId="0" borderId="11" xfId="0" applyNumberFormat="1" applyFont="1" applyBorder="1" applyAlignment="1" applyProtection="1">
      <alignment horizontal="center" vertical="center" shrinkToFit="1"/>
    </xf>
    <xf numFmtId="4" fontId="1" fillId="0" borderId="2" xfId="0" applyNumberFormat="1" applyFont="1" applyBorder="1" applyAlignment="1" applyProtection="1">
      <alignment horizontal="left" vertical="center" shrinkToFit="1"/>
    </xf>
    <xf numFmtId="0" fontId="1" fillId="0" borderId="0" xfId="0" applyFont="1" applyAlignment="1">
      <alignment horizontal="center" vertical="center"/>
    </xf>
    <xf numFmtId="4" fontId="1" fillId="0" borderId="12" xfId="0" applyNumberFormat="1" applyFont="1" applyBorder="1" applyAlignment="1" applyProtection="1">
      <alignment horizontal="left" vertical="center" shrinkToFit="1"/>
    </xf>
    <xf numFmtId="0" fontId="9" fillId="0" borderId="0" xfId="0" applyFont="1" applyBorder="1" applyProtection="1">
      <alignment vertical="center"/>
    </xf>
    <xf numFmtId="177" fontId="9" fillId="0" borderId="11" xfId="0" applyNumberFormat="1" applyFont="1" applyBorder="1" applyAlignment="1" applyProtection="1">
      <alignment horizontal="center" vertical="center"/>
    </xf>
    <xf numFmtId="178" fontId="9" fillId="0" borderId="14" xfId="0" applyNumberFormat="1" applyFont="1" applyBorder="1" applyAlignment="1" applyProtection="1">
      <alignment horizontal="left" vertical="center"/>
    </xf>
    <xf numFmtId="0" fontId="6" fillId="0" borderId="0" xfId="0" applyFont="1" applyBorder="1" applyAlignment="1" applyProtection="1">
      <alignment vertical="center"/>
    </xf>
    <xf numFmtId="0" fontId="10" fillId="0" borderId="0" xfId="0" applyFont="1" applyBorder="1" applyAlignment="1" applyProtection="1">
      <alignment vertical="center"/>
    </xf>
    <xf numFmtId="177" fontId="9" fillId="0" borderId="15" xfId="0" applyNumberFormat="1" applyFont="1" applyBorder="1" applyAlignment="1" applyProtection="1">
      <alignment horizontal="center" vertical="center"/>
    </xf>
    <xf numFmtId="178" fontId="9" fillId="0" borderId="0" xfId="0" applyNumberFormat="1"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8" fontId="11" fillId="0" borderId="0" xfId="0" applyNumberFormat="1" applyFont="1" applyBorder="1" applyAlignment="1" applyProtection="1">
      <alignment horizontal="right" vertical="center"/>
    </xf>
    <xf numFmtId="179" fontId="11" fillId="0" borderId="0" xfId="0" applyNumberFormat="1" applyFont="1" applyBorder="1" applyAlignment="1" applyProtection="1">
      <alignment horizontal="left" vertical="center"/>
    </xf>
    <xf numFmtId="0" fontId="1" fillId="0" borderId="0" xfId="0" applyFont="1" applyBorder="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1" fillId="0" borderId="0" xfId="0" applyFont="1" applyBorder="1" applyAlignment="1" applyProtection="1">
      <alignment horizontal="left" vertical="center" shrinkToFit="1"/>
    </xf>
    <xf numFmtId="180" fontId="1"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1" fillId="0" borderId="0" xfId="0" applyFont="1" applyBorder="1" applyAlignment="1" applyProtection="1">
      <alignment horizontal="center" vertical="center"/>
    </xf>
    <xf numFmtId="0" fontId="0" fillId="0" borderId="0" xfId="0" applyBorder="1" applyProtection="1">
      <alignment vertical="center"/>
    </xf>
    <xf numFmtId="0" fontId="12" fillId="0" borderId="0" xfId="0" applyFont="1" applyBorder="1" applyAlignment="1" applyProtection="1">
      <alignment horizontal="left" vertical="center"/>
    </xf>
    <xf numFmtId="0" fontId="0" fillId="0" borderId="0" xfId="0" applyBorder="1" applyAlignment="1" applyProtection="1">
      <alignment horizontal="right" vertical="center"/>
    </xf>
    <xf numFmtId="0" fontId="1" fillId="0" borderId="0" xfId="0" applyFont="1" applyBorder="1" applyAlignment="1" applyProtection="1">
      <alignment vertical="center"/>
    </xf>
    <xf numFmtId="0" fontId="1" fillId="0" borderId="0" xfId="0" applyFont="1" applyBorder="1" applyAlignment="1" applyProtection="1">
      <alignment horizontal="left" vertical="center"/>
    </xf>
    <xf numFmtId="0" fontId="1" fillId="0" borderId="0" xfId="0" applyFont="1" applyAlignment="1" applyProtection="1">
      <alignment horizontal="left" vertical="center"/>
    </xf>
    <xf numFmtId="0" fontId="1" fillId="0" borderId="0" xfId="0" applyFont="1" applyProtection="1">
      <alignment vertical="center"/>
    </xf>
    <xf numFmtId="0" fontId="13" fillId="0" borderId="0" xfId="0" applyFont="1" applyBorder="1" applyProtection="1">
      <alignment vertical="center"/>
    </xf>
    <xf numFmtId="0" fontId="1" fillId="0" borderId="0" xfId="0" applyFont="1" applyAlignment="1">
      <alignment horizontal="left" vertical="center"/>
    </xf>
    <xf numFmtId="0" fontId="14" fillId="0" borderId="0" xfId="0" applyFont="1" applyBorder="1" applyAlignment="1" applyProtection="1">
      <alignment horizontal="center" vertical="center" wrapText="1"/>
    </xf>
    <xf numFmtId="0" fontId="14" fillId="0" borderId="0" xfId="0" applyFont="1" applyBorder="1" applyAlignment="1" applyProtection="1">
      <alignment horizontal="left" vertical="center" wrapText="1"/>
    </xf>
    <xf numFmtId="0" fontId="15"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1" fillId="0" borderId="1" xfId="0" applyNumberFormat="1" applyFont="1" applyFill="1" applyBorder="1" applyAlignment="1" applyProtection="1">
      <alignment horizontal="left" vertical="center" wrapText="1"/>
    </xf>
    <xf numFmtId="0" fontId="16" fillId="0" borderId="0" xfId="0" applyFont="1" applyBorder="1" applyAlignment="1" applyProtection="1">
      <alignment vertical="center"/>
    </xf>
    <xf numFmtId="0" fontId="17" fillId="0" borderId="0" xfId="0" applyFont="1" applyBorder="1" applyAlignment="1" applyProtection="1">
      <alignment vertical="center"/>
    </xf>
    <xf numFmtId="0" fontId="6"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1" fillId="0" borderId="1" xfId="0" applyNumberFormat="1" applyFont="1" applyFill="1" applyBorder="1" applyAlignment="1" applyProtection="1">
      <alignment horizontal="left" vertical="center" wrapText="1"/>
    </xf>
    <xf numFmtId="0" fontId="0" fillId="0" borderId="1" xfId="0" applyFont="1" applyBorder="1" applyAlignment="1" applyProtection="1">
      <alignment horizontal="left" vertical="center" wrapText="1"/>
    </xf>
    <xf numFmtId="0" fontId="1" fillId="0" borderId="1" xfId="0" applyNumberFormat="1" applyFont="1" applyBorder="1" applyAlignment="1" applyProtection="1">
      <alignment horizontal="left" vertical="center" wrapText="1"/>
    </xf>
    <xf numFmtId="0" fontId="0" fillId="0" borderId="0" xfId="0" applyBorder="1" applyAlignment="1" applyProtection="1">
      <alignment wrapText="1"/>
    </xf>
    <xf numFmtId="0" fontId="1"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18"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1" xfId="0" applyFont="1" applyBorder="1" applyAlignment="1" applyProtection="1">
      <alignment horizontal="center" vertical="top"/>
    </xf>
    <xf numFmtId="0" fontId="0" fillId="0" borderId="0" xfId="0" applyBorder="1" applyAlignment="1" applyProtection="1">
      <alignment vertical="center"/>
    </xf>
    <xf numFmtId="0" fontId="0" fillId="0" borderId="0" xfId="0" applyFont="1" applyFill="1" applyBorder="1" applyAlignment="1" applyProtection="1">
      <alignment vertical="center" wrapText="1"/>
    </xf>
    <xf numFmtId="0" fontId="0" fillId="0" borderId="1"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Border="1" applyAlignment="1" applyProtection="1">
      <alignment vertical="center"/>
    </xf>
    <xf numFmtId="0" fontId="0" fillId="0" borderId="0" xfId="0" applyFont="1" applyFill="1" applyBorder="1" applyAlignment="1" applyProtection="1">
      <alignment horizontal="center" vertical="center"/>
    </xf>
    <xf numFmtId="0" fontId="0" fillId="0" borderId="16" xfId="0" applyFont="1" applyBorder="1" applyAlignment="1" applyProtection="1">
      <alignment horizontal="center" vertical="center" wrapText="1"/>
    </xf>
    <xf numFmtId="0" fontId="0" fillId="0" borderId="16" xfId="0" applyBorder="1" applyAlignment="1" applyProtection="1">
      <alignment horizontal="center" vertical="center" wrapText="1"/>
    </xf>
    <xf numFmtId="0" fontId="5" fillId="0" borderId="16" xfId="0" applyFont="1" applyBorder="1" applyAlignment="1" applyProtection="1">
      <alignment horizontal="center" vertical="center" wrapText="1"/>
    </xf>
    <xf numFmtId="0" fontId="0" fillId="0" borderId="16" xfId="0" applyFont="1" applyBorder="1" applyAlignment="1" applyProtection="1">
      <alignment horizontal="left" vertical="center" wrapText="1"/>
    </xf>
    <xf numFmtId="0" fontId="0" fillId="0" borderId="13" xfId="0" applyBorder="1" applyAlignment="1" applyProtection="1">
      <alignment horizontal="center" vertical="center" wrapText="1"/>
    </xf>
    <xf numFmtId="0" fontId="1" fillId="0" borderId="17" xfId="0" applyFont="1" applyBorder="1" applyAlignment="1" applyProtection="1">
      <alignment horizontal="center" vertical="top" wrapText="1"/>
    </xf>
    <xf numFmtId="0" fontId="5" fillId="0" borderId="18" xfId="0" applyFont="1" applyBorder="1" applyAlignment="1" applyProtection="1">
      <alignment horizontal="center" vertical="center" shrinkToFit="1"/>
    </xf>
    <xf numFmtId="0" fontId="1" fillId="0" borderId="18" xfId="0" applyNumberFormat="1" applyFont="1" applyBorder="1" applyAlignment="1" applyProtection="1">
      <alignment horizontal="center" vertical="center" shrinkToFit="1"/>
    </xf>
    <xf numFmtId="0" fontId="1" fillId="0" borderId="0" xfId="0" applyFont="1" applyBorder="1" applyAlignment="1" applyProtection="1">
      <alignment horizontal="right" vertical="center" shrinkToFit="1"/>
      <protection locked="0"/>
    </xf>
    <xf numFmtId="0" fontId="1" fillId="0" borderId="0" xfId="0" applyFont="1" applyBorder="1" applyAlignment="1" applyProtection="1">
      <alignment horizontal="left" vertical="center" shrinkToFit="1"/>
      <protection locked="0"/>
    </xf>
    <xf numFmtId="0" fontId="4" fillId="0" borderId="0" xfId="0" applyFont="1" applyBorder="1" applyProtection="1">
      <alignment vertical="center"/>
    </xf>
    <xf numFmtId="0" fontId="1" fillId="0" borderId="17" xfId="0" applyNumberFormat="1" applyFont="1" applyBorder="1" applyAlignment="1" applyProtection="1">
      <alignment horizontal="center" vertical="center" shrinkToFit="1"/>
    </xf>
    <xf numFmtId="0" fontId="11" fillId="0" borderId="16" xfId="0" applyFont="1" applyBorder="1" applyAlignment="1" applyProtection="1">
      <alignment vertical="center" wrapText="1"/>
    </xf>
    <xf numFmtId="0" fontId="1" fillId="0" borderId="19" xfId="0" applyNumberFormat="1" applyFont="1" applyBorder="1" applyAlignment="1" applyProtection="1">
      <alignment horizontal="center" vertical="center" shrinkToFit="1"/>
    </xf>
    <xf numFmtId="0" fontId="11" fillId="0" borderId="0" xfId="0" applyFont="1" applyBorder="1" applyAlignment="1" applyProtection="1">
      <alignment horizontal="center" vertical="center" wrapText="1"/>
    </xf>
    <xf numFmtId="0" fontId="0" fillId="0" borderId="1"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1" xfId="0" applyNumberFormat="1" applyFont="1" applyFill="1" applyBorder="1" applyAlignment="1" applyProtection="1">
      <alignment horizontal="left" vertical="center" wrapText="1"/>
    </xf>
    <xf numFmtId="0" fontId="0" fillId="0" borderId="1" xfId="0" applyFont="1" applyFill="1" applyBorder="1" applyAlignment="1" applyProtection="1">
      <alignment horizontal="left" vertical="center" wrapText="1"/>
    </xf>
    <xf numFmtId="0" fontId="0" fillId="0" borderId="0" xfId="0" applyAlignment="1" applyProtection="1">
      <alignment vertical="center"/>
    </xf>
    <xf numFmtId="0" fontId="0" fillId="0" borderId="20" xfId="0" applyBorder="1" applyAlignment="1" applyProtection="1">
      <alignment horizontal="center" vertical="center" wrapText="1"/>
    </xf>
    <xf numFmtId="0" fontId="0" fillId="0" borderId="0" xfId="0" applyAlignment="1" applyProtection="1">
      <alignment horizontal="center" vertical="top" wrapText="1"/>
    </xf>
    <xf numFmtId="0" fontId="0" fillId="0" borderId="21" xfId="0" applyBorder="1" applyAlignment="1" applyProtection="1">
      <alignment horizontal="center" vertical="center" shrinkToFit="1"/>
    </xf>
    <xf numFmtId="0" fontId="7" fillId="0" borderId="18" xfId="0" applyFont="1" applyBorder="1" applyAlignment="1" applyProtection="1">
      <alignment horizontal="center" vertical="center" shrinkToFit="1"/>
    </xf>
    <xf numFmtId="176" fontId="5" fillId="0" borderId="18" xfId="0" applyNumberFormat="1" applyFont="1" applyBorder="1" applyAlignment="1" applyProtection="1">
      <alignment horizontal="center" vertical="center" shrinkToFit="1"/>
    </xf>
    <xf numFmtId="181" fontId="0" fillId="0" borderId="0" xfId="0" applyNumberFormat="1" applyBorder="1" applyAlignment="1" applyProtection="1">
      <alignment horizontal="center" vertical="center" shrinkToFit="1"/>
    </xf>
    <xf numFmtId="0" fontId="11" fillId="0" borderId="22" xfId="0" applyFont="1" applyBorder="1" applyAlignment="1" applyProtection="1">
      <alignment horizontal="center" vertical="center"/>
    </xf>
    <xf numFmtId="179" fontId="11" fillId="0" borderId="22" xfId="0" applyNumberFormat="1" applyFont="1" applyBorder="1" applyAlignment="1" applyProtection="1">
      <alignment horizontal="center" vertical="center" shrinkToFit="1"/>
    </xf>
    <xf numFmtId="0" fontId="11" fillId="0" borderId="22" xfId="0" applyNumberFormat="1" applyFont="1" applyBorder="1" applyAlignment="1" applyProtection="1">
      <alignment horizontal="right" vertical="center" shrinkToFit="1"/>
    </xf>
    <xf numFmtId="178" fontId="11" fillId="0" borderId="22" xfId="0" applyNumberFormat="1" applyFont="1" applyBorder="1" applyAlignment="1" applyProtection="1">
      <alignment horizontal="left" vertical="center" shrinkToFit="1"/>
    </xf>
    <xf numFmtId="0" fontId="19" fillId="0" borderId="0" xfId="0" applyFont="1" applyBorder="1" applyAlignment="1" applyProtection="1">
      <alignment horizontal="center" vertical="center" wrapText="1"/>
    </xf>
    <xf numFmtId="0" fontId="19" fillId="0" borderId="0" xfId="0" applyFont="1" applyBorder="1" applyAlignment="1" applyProtection="1">
      <alignment horizontal="center" vertical="center"/>
    </xf>
    <xf numFmtId="0" fontId="0" fillId="0" borderId="0" xfId="0" applyAlignment="1" applyProtection="1">
      <alignment horizontal="center" vertical="center"/>
    </xf>
    <xf numFmtId="0" fontId="11" fillId="0" borderId="0" xfId="0" applyFont="1" applyAlignment="1" applyProtection="1">
      <alignment horizontal="left" vertical="center"/>
    </xf>
    <xf numFmtId="0" fontId="0" fillId="0" borderId="0" xfId="0" applyProtection="1">
      <alignment vertical="center"/>
    </xf>
    <xf numFmtId="0" fontId="0" fillId="0" borderId="0" xfId="0" applyBorder="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2" fillId="0" borderId="0" xfId="0" applyFont="1" applyAlignment="1">
      <alignment horizontal="right" vertical="center"/>
    </xf>
    <xf numFmtId="0" fontId="23" fillId="0" borderId="0" xfId="0" applyFont="1" applyBorder="1" applyAlignment="1">
      <alignment horizontal="center" vertical="center"/>
    </xf>
    <xf numFmtId="0" fontId="20" fillId="0" borderId="0" xfId="0" applyFont="1" applyBorder="1" applyAlignment="1">
      <alignment horizontal="right" vertical="center" shrinkToFit="1"/>
    </xf>
    <xf numFmtId="0" fontId="20" fillId="0" borderId="0" xfId="0" applyFont="1" applyBorder="1" applyAlignment="1">
      <alignment horizontal="left" vertical="center" shrinkToFit="1"/>
    </xf>
    <xf numFmtId="0" fontId="24" fillId="2" borderId="23" xfId="0" applyFont="1" applyFill="1" applyBorder="1" applyAlignment="1">
      <alignment horizontal="left" vertical="center" shrinkToFit="1"/>
    </xf>
    <xf numFmtId="0" fontId="24" fillId="2" borderId="24" xfId="0" applyFont="1" applyFill="1" applyBorder="1" applyAlignment="1">
      <alignment horizontal="left" vertical="center" shrinkToFit="1"/>
    </xf>
    <xf numFmtId="0" fontId="24" fillId="2" borderId="25" xfId="0" applyFont="1" applyFill="1" applyBorder="1" applyAlignment="1">
      <alignment horizontal="left" vertical="center" shrinkToFit="1"/>
    </xf>
    <xf numFmtId="0" fontId="20" fillId="0" borderId="26" xfId="0" applyFont="1" applyBorder="1" applyAlignment="1">
      <alignment vertical="center" shrinkToFit="1"/>
    </xf>
    <xf numFmtId="0" fontId="20" fillId="0" borderId="25" xfId="0" applyFont="1" applyBorder="1" applyAlignment="1">
      <alignment vertical="center" shrinkToFit="1"/>
    </xf>
    <xf numFmtId="0" fontId="20" fillId="0" borderId="24" xfId="0" applyFont="1" applyBorder="1" applyAlignment="1">
      <alignment horizontal="left" vertical="center" shrinkToFit="1"/>
    </xf>
    <xf numFmtId="0" fontId="25" fillId="2" borderId="27" xfId="0" applyFont="1" applyFill="1" applyBorder="1" applyAlignment="1">
      <alignment horizontal="left" vertical="center" shrinkToFit="1"/>
    </xf>
    <xf numFmtId="0" fontId="25" fillId="2" borderId="1" xfId="0" applyFont="1" applyFill="1" applyBorder="1" applyAlignment="1">
      <alignment horizontal="left" vertical="center" shrinkToFit="1"/>
    </xf>
    <xf numFmtId="0" fontId="25" fillId="2" borderId="9" xfId="0" applyFont="1" applyFill="1" applyBorder="1" applyAlignment="1">
      <alignment horizontal="left" vertical="center" shrinkToFit="1"/>
    </xf>
    <xf numFmtId="0" fontId="22" fillId="0" borderId="8" xfId="0" applyFont="1" applyBorder="1" applyAlignment="1">
      <alignment horizontal="left" vertical="center" shrinkToFit="1"/>
    </xf>
    <xf numFmtId="0" fontId="22" fillId="0" borderId="9" xfId="0" applyFont="1" applyBorder="1" applyAlignment="1">
      <alignment horizontal="left" vertical="center" shrinkToFit="1"/>
    </xf>
    <xf numFmtId="0" fontId="22" fillId="0" borderId="1" xfId="0" applyFont="1" applyBorder="1" applyAlignment="1">
      <alignment horizontal="left" vertical="center" shrinkToFit="1"/>
    </xf>
    <xf numFmtId="0" fontId="24" fillId="2" borderId="28" xfId="0" applyFont="1" applyFill="1" applyBorder="1" applyAlignment="1">
      <alignment horizontal="left" vertical="center" shrinkToFit="1"/>
    </xf>
    <xf numFmtId="0" fontId="24" fillId="2" borderId="2" xfId="0" applyFont="1" applyFill="1" applyBorder="1" applyAlignment="1">
      <alignment horizontal="left" vertical="center" shrinkToFit="1"/>
    </xf>
    <xf numFmtId="0" fontId="24" fillId="2" borderId="2" xfId="0" applyFont="1" applyFill="1" applyBorder="1" applyAlignment="1">
      <alignment vertical="center" shrinkToFit="1"/>
    </xf>
    <xf numFmtId="0" fontId="24" fillId="2" borderId="12" xfId="0" applyFont="1" applyFill="1" applyBorder="1" applyAlignment="1">
      <alignment horizontal="left" vertical="center" shrinkToFit="1"/>
    </xf>
    <xf numFmtId="0" fontId="24" fillId="0" borderId="11" xfId="0" applyFont="1" applyBorder="1" applyAlignment="1">
      <alignment vertical="center" shrinkToFit="1"/>
    </xf>
    <xf numFmtId="0" fontId="24" fillId="0" borderId="12" xfId="0" applyFont="1" applyBorder="1" applyAlignment="1">
      <alignment vertical="center" shrinkToFit="1"/>
    </xf>
    <xf numFmtId="0" fontId="20" fillId="0" borderId="11" xfId="0" applyFont="1" applyBorder="1" applyAlignment="1">
      <alignment horizontal="left" vertical="center" shrinkToFit="1"/>
    </xf>
    <xf numFmtId="0" fontId="20" fillId="0" borderId="2" xfId="0" applyFont="1" applyBorder="1" applyAlignment="1">
      <alignment horizontal="left" vertical="center" shrinkToFit="1"/>
    </xf>
    <xf numFmtId="0" fontId="25" fillId="2" borderId="27" xfId="0" applyFont="1" applyFill="1" applyBorder="1" applyAlignment="1">
      <alignment horizontal="left" vertical="center" wrapText="1" shrinkToFit="1"/>
    </xf>
    <xf numFmtId="0" fontId="26" fillId="0" borderId="8" xfId="0" applyFont="1" applyBorder="1" applyAlignment="1">
      <alignment horizontal="left" vertical="center" shrinkToFit="1"/>
    </xf>
    <xf numFmtId="0" fontId="26" fillId="0" borderId="9" xfId="0" applyFont="1" applyBorder="1" applyAlignment="1">
      <alignment horizontal="left" vertical="center" shrinkToFit="1"/>
    </xf>
    <xf numFmtId="0" fontId="24" fillId="0" borderId="2" xfId="0" applyFont="1" applyBorder="1" applyAlignment="1">
      <alignment horizontal="left" vertical="center" shrinkToFit="1"/>
    </xf>
    <xf numFmtId="0" fontId="25" fillId="0" borderId="8" xfId="0" applyFont="1" applyBorder="1" applyAlignment="1">
      <alignment horizontal="left" vertical="center" shrinkToFit="1"/>
    </xf>
    <xf numFmtId="0" fontId="25" fillId="0" borderId="9" xfId="0" applyFont="1" applyBorder="1" applyAlignment="1">
      <alignment horizontal="left" vertical="center" shrinkToFit="1"/>
    </xf>
    <xf numFmtId="0" fontId="25" fillId="0" borderId="1" xfId="0" applyFont="1" applyBorder="1" applyAlignment="1">
      <alignment horizontal="left" vertical="center" shrinkToFit="1"/>
    </xf>
    <xf numFmtId="0" fontId="26" fillId="0" borderId="1" xfId="0" applyFont="1" applyBorder="1" applyAlignment="1">
      <alignment horizontal="left" vertical="center" shrinkToFit="1"/>
    </xf>
    <xf numFmtId="0" fontId="24" fillId="0" borderId="17" xfId="0" applyFont="1" applyBorder="1" applyAlignment="1">
      <alignment vertical="center" shrinkToFit="1"/>
    </xf>
    <xf numFmtId="0" fontId="24" fillId="0" borderId="13" xfId="0" applyFont="1" applyBorder="1" applyAlignment="1">
      <alignment vertical="center" shrinkToFit="1"/>
    </xf>
    <xf numFmtId="0" fontId="24" fillId="0" borderId="11" xfId="0" applyFont="1" applyBorder="1" applyAlignment="1">
      <alignment horizontal="left" vertical="center" shrinkToFit="1"/>
    </xf>
    <xf numFmtId="0" fontId="24" fillId="0" borderId="12" xfId="0" applyFont="1" applyBorder="1" applyAlignment="1">
      <alignment horizontal="left" vertical="center" shrinkToFit="1"/>
    </xf>
    <xf numFmtId="0" fontId="25" fillId="0" borderId="10" xfId="0" applyFont="1" applyBorder="1" applyAlignment="1">
      <alignment horizontal="left" vertical="center" shrinkToFit="1"/>
    </xf>
    <xf numFmtId="0" fontId="24" fillId="0" borderId="28" xfId="0" applyFont="1" applyBorder="1">
      <alignment vertical="center"/>
    </xf>
    <xf numFmtId="0" fontId="24" fillId="0" borderId="2" xfId="0" applyFont="1" applyBorder="1">
      <alignment vertical="center"/>
    </xf>
    <xf numFmtId="0" fontId="24" fillId="0" borderId="2" xfId="0" applyFont="1" applyBorder="1" applyAlignment="1">
      <alignment horizontal="left" vertical="center"/>
    </xf>
    <xf numFmtId="0" fontId="20" fillId="0" borderId="29" xfId="0" applyFont="1" applyBorder="1" applyAlignment="1">
      <alignment horizontal="right" vertical="center"/>
    </xf>
    <xf numFmtId="0" fontId="20" fillId="0" borderId="30" xfId="0" applyFont="1" applyBorder="1" applyAlignment="1">
      <alignment horizontal="right" vertical="center"/>
    </xf>
    <xf numFmtId="0" fontId="20" fillId="0" borderId="30" xfId="0" applyFont="1" applyBorder="1" applyAlignment="1">
      <alignment horizontal="left" vertical="center"/>
    </xf>
    <xf numFmtId="0" fontId="20" fillId="0" borderId="31" xfId="0" applyFont="1" applyBorder="1">
      <alignment vertical="center"/>
    </xf>
    <xf numFmtId="0" fontId="20" fillId="0" borderId="0" xfId="0" applyFont="1" applyBorder="1">
      <alignment vertical="center"/>
    </xf>
    <xf numFmtId="0" fontId="20" fillId="0" borderId="0" xfId="0" applyFont="1" applyBorder="1" applyAlignment="1">
      <alignment horizontal="left" vertical="center"/>
    </xf>
    <xf numFmtId="0" fontId="22" fillId="0" borderId="0" xfId="0" applyFont="1" applyAlignment="1">
      <alignment horizontal="left" vertical="center"/>
    </xf>
    <xf numFmtId="0" fontId="22" fillId="0" borderId="31" xfId="0" applyFont="1" applyBorder="1" applyAlignment="1">
      <alignment horizontal="left" vertical="center"/>
    </xf>
    <xf numFmtId="0" fontId="22" fillId="0" borderId="0" xfId="0" applyFont="1" applyBorder="1" applyAlignment="1">
      <alignment horizontal="left" vertical="center"/>
    </xf>
    <xf numFmtId="0" fontId="27" fillId="0" borderId="32" xfId="0" applyFont="1" applyBorder="1">
      <alignment vertical="center"/>
    </xf>
    <xf numFmtId="0" fontId="27" fillId="0" borderId="33" xfId="0" applyFont="1" applyBorder="1">
      <alignment vertical="center"/>
    </xf>
    <xf numFmtId="0" fontId="27" fillId="0" borderId="34" xfId="0" applyFont="1" applyBorder="1" applyAlignment="1">
      <alignment horizontal="left" vertical="center"/>
    </xf>
    <xf numFmtId="0" fontId="27" fillId="0" borderId="35" xfId="0" applyFont="1" applyBorder="1" applyAlignment="1">
      <alignment horizontal="right" vertical="center"/>
    </xf>
    <xf numFmtId="0" fontId="27" fillId="0" borderId="33" xfId="0" applyFont="1" applyBorder="1" applyAlignment="1">
      <alignment horizontal="right" vertical="center"/>
    </xf>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0" fillId="0" borderId="21" xfId="0" applyFont="1" applyBorder="1" applyAlignment="1">
      <alignment horizontal="center" vertical="center" shrinkToFit="1"/>
    </xf>
    <xf numFmtId="0" fontId="22" fillId="0" borderId="0" xfId="0" applyFont="1" applyBorder="1" applyAlignment="1">
      <alignment horizontal="left" vertical="center" shrinkToFit="1"/>
    </xf>
    <xf numFmtId="0" fontId="22" fillId="0" borderId="0" xfId="0" applyFont="1" applyBorder="1" applyAlignment="1">
      <alignment horizontal="center" vertical="center" shrinkToFit="1"/>
    </xf>
    <xf numFmtId="0" fontId="22" fillId="0" borderId="0" xfId="0" applyFont="1" applyBorder="1" applyAlignment="1">
      <alignment vertical="center" shrinkToFit="1"/>
    </xf>
    <xf numFmtId="0" fontId="0" fillId="0" borderId="0" xfId="0" applyFont="1">
      <alignment vertical="center"/>
    </xf>
    <xf numFmtId="0" fontId="22" fillId="0" borderId="0" xfId="0" applyFont="1" applyAlignment="1">
      <alignment horizontal="left" vertical="center" shrinkToFit="1"/>
    </xf>
    <xf numFmtId="0" fontId="20" fillId="0" borderId="0" xfId="0" applyFont="1" applyAlignment="1">
      <alignment horizontal="left" vertical="center" wrapText="1" shrinkToFit="1"/>
    </xf>
    <xf numFmtId="0" fontId="22" fillId="0" borderId="0" xfId="0" applyFont="1" applyAlignment="1">
      <alignment vertical="center" shrinkToFit="1"/>
    </xf>
    <xf numFmtId="0" fontId="7" fillId="0" borderId="8" xfId="0" applyFont="1" applyBorder="1" applyAlignment="1">
      <alignment horizontal="center" vertical="center" shrinkToFit="1"/>
    </xf>
    <xf numFmtId="0" fontId="20" fillId="0" borderId="1" xfId="0" applyFont="1" applyBorder="1" applyAlignment="1">
      <alignment horizontal="left" vertical="center" wrapText="1" shrinkToFit="1"/>
    </xf>
    <xf numFmtId="0" fontId="22" fillId="0" borderId="36" xfId="0" applyFont="1" applyBorder="1" applyAlignment="1">
      <alignment vertical="center" shrinkToFit="1"/>
    </xf>
    <xf numFmtId="0" fontId="23" fillId="0" borderId="0" xfId="0" applyFont="1" applyBorder="1" applyAlignment="1">
      <alignment horizontal="right" vertical="center"/>
    </xf>
    <xf numFmtId="0" fontId="20" fillId="0" borderId="0" xfId="0" applyFont="1" applyBorder="1" applyAlignment="1">
      <alignment vertical="center" shrinkToFit="1"/>
    </xf>
    <xf numFmtId="0" fontId="20" fillId="0" borderId="24" xfId="0" applyFont="1" applyBorder="1" applyAlignment="1">
      <alignment horizontal="right" vertical="center" shrinkToFit="1"/>
    </xf>
    <xf numFmtId="0" fontId="20" fillId="0" borderId="25" xfId="0" applyFont="1" applyBorder="1" applyAlignment="1">
      <alignment horizontal="left" vertical="center" shrinkToFit="1"/>
    </xf>
    <xf numFmtId="0" fontId="22" fillId="0" borderId="1" xfId="0" applyFont="1" applyBorder="1" applyAlignment="1">
      <alignment horizontal="right" vertical="center" shrinkToFit="1"/>
    </xf>
    <xf numFmtId="0" fontId="22" fillId="0" borderId="9" xfId="0" applyFont="1" applyBorder="1" applyAlignment="1">
      <alignment vertical="center" shrinkToFit="1"/>
    </xf>
    <xf numFmtId="0" fontId="20" fillId="0" borderId="2" xfId="0" applyFont="1" applyBorder="1" applyAlignment="1">
      <alignment horizontal="right" vertical="center" shrinkToFit="1"/>
    </xf>
    <xf numFmtId="0" fontId="20" fillId="0" borderId="12" xfId="0" applyFont="1" applyBorder="1" applyAlignment="1">
      <alignment horizontal="left" vertical="center" shrinkToFit="1"/>
    </xf>
    <xf numFmtId="0" fontId="20" fillId="0" borderId="11" xfId="0" applyFont="1" applyBorder="1" applyAlignment="1">
      <alignment vertical="center" shrinkToFit="1"/>
    </xf>
    <xf numFmtId="0" fontId="24" fillId="0" borderId="2" xfId="0" applyFont="1" applyBorder="1" applyAlignment="1">
      <alignment horizontal="right" vertical="center" shrinkToFit="1"/>
    </xf>
    <xf numFmtId="0" fontId="25" fillId="0" borderId="1" xfId="0" applyFont="1" applyBorder="1" applyAlignment="1">
      <alignment horizontal="right" vertical="center" shrinkToFit="1"/>
    </xf>
    <xf numFmtId="0" fontId="26" fillId="0" borderId="9" xfId="0" applyFont="1" applyBorder="1" applyAlignment="1">
      <alignment vertical="center" shrinkToFit="1"/>
    </xf>
    <xf numFmtId="0" fontId="24" fillId="0" borderId="11" xfId="0" applyFont="1" applyBorder="1" applyAlignment="1">
      <alignment horizontal="right" vertical="center" shrinkToFit="1"/>
    </xf>
    <xf numFmtId="0" fontId="24" fillId="0" borderId="2" xfId="0" applyFont="1" applyBorder="1" applyAlignment="1">
      <alignment vertical="center" shrinkToFit="1"/>
    </xf>
    <xf numFmtId="0" fontId="20" fillId="0" borderId="2" xfId="0" applyFont="1" applyBorder="1" applyAlignment="1">
      <alignment vertical="center" shrinkToFit="1"/>
    </xf>
    <xf numFmtId="0" fontId="28" fillId="0" borderId="8" xfId="0" applyFont="1" applyBorder="1" applyAlignment="1">
      <alignment horizontal="left" vertical="center" shrinkToFit="1"/>
    </xf>
    <xf numFmtId="0" fontId="28" fillId="0" borderId="1" xfId="0" applyFont="1" applyBorder="1" applyAlignment="1">
      <alignment horizontal="left" vertical="center" shrinkToFit="1"/>
    </xf>
    <xf numFmtId="0" fontId="28" fillId="0" borderId="9" xfId="0" applyFont="1" applyBorder="1" applyAlignment="1">
      <alignment horizontal="left" vertical="center" shrinkToFit="1"/>
    </xf>
    <xf numFmtId="0" fontId="22" fillId="0" borderId="0" xfId="0" applyFont="1" applyBorder="1" applyAlignment="1">
      <alignment horizontal="right" vertical="center"/>
    </xf>
    <xf numFmtId="0" fontId="29" fillId="0" borderId="37" xfId="0" applyFont="1" applyBorder="1">
      <alignment vertical="center"/>
    </xf>
    <xf numFmtId="0" fontId="21" fillId="0" borderId="33" xfId="0" applyFont="1" applyBorder="1" applyAlignment="1">
      <alignment horizontal="center" vertical="center"/>
    </xf>
    <xf numFmtId="0" fontId="22" fillId="0" borderId="0" xfId="0" applyFont="1" applyAlignment="1">
      <alignment horizontal="right" vertical="center" shrinkToFit="1"/>
    </xf>
    <xf numFmtId="0" fontId="22" fillId="0" borderId="0" xfId="0" applyFont="1" applyAlignment="1">
      <alignment horizontal="center" vertical="center" shrinkToFit="1"/>
    </xf>
    <xf numFmtId="0" fontId="0" fillId="0" borderId="0" xfId="0" applyFont="1" applyAlignment="1">
      <alignment horizontal="center" vertical="center" shrinkToFit="1"/>
    </xf>
    <xf numFmtId="0" fontId="11" fillId="0" borderId="0" xfId="0" applyFont="1" applyAlignment="1">
      <alignment horizontal="center" vertical="center" shrinkToFit="1"/>
    </xf>
    <xf numFmtId="0" fontId="0" fillId="0" borderId="1" xfId="0" applyFont="1" applyBorder="1" applyAlignment="1">
      <alignment horizontal="right" vertical="center" shrinkToFit="1"/>
    </xf>
    <xf numFmtId="0" fontId="0" fillId="0" borderId="1" xfId="0" applyFont="1" applyBorder="1" applyAlignment="1">
      <alignment horizontal="center" vertical="center" shrinkToFit="1"/>
    </xf>
    <xf numFmtId="0" fontId="20" fillId="0" borderId="38" xfId="0" applyFont="1" applyBorder="1" applyAlignment="1">
      <alignment horizontal="left" vertical="center" shrinkToFit="1"/>
    </xf>
    <xf numFmtId="0" fontId="30" fillId="3" borderId="23" xfId="0" applyFont="1" applyFill="1" applyBorder="1" applyAlignment="1"/>
    <xf numFmtId="0" fontId="30" fillId="3" borderId="24" xfId="0" applyFont="1" applyFill="1" applyBorder="1" applyAlignment="1"/>
    <xf numFmtId="0" fontId="22" fillId="0" borderId="39" xfId="0" applyFont="1" applyBorder="1" applyAlignment="1">
      <alignment horizontal="left" vertical="center" shrinkToFit="1"/>
    </xf>
    <xf numFmtId="0" fontId="30" fillId="3" borderId="31" xfId="0" applyFont="1" applyFill="1" applyBorder="1" applyAlignment="1">
      <alignment vertical="center"/>
    </xf>
    <xf numFmtId="0" fontId="30" fillId="3" borderId="0" xfId="0" applyFont="1" applyFill="1" applyAlignment="1">
      <alignment horizontal="center" vertical="center"/>
    </xf>
    <xf numFmtId="0" fontId="30" fillId="3" borderId="0" xfId="0" applyFont="1" applyFill="1" applyAlignment="1">
      <alignment vertical="center"/>
    </xf>
    <xf numFmtId="0" fontId="24" fillId="0" borderId="40" xfId="0" applyFont="1" applyBorder="1" applyAlignment="1">
      <alignment horizontal="left" vertical="center" shrinkToFit="1"/>
    </xf>
    <xf numFmtId="0" fontId="30" fillId="3" borderId="31" xfId="0" applyFont="1" applyFill="1" applyBorder="1" applyAlignment="1"/>
    <xf numFmtId="0" fontId="30" fillId="3" borderId="0" xfId="0" applyFont="1" applyFill="1" applyAlignment="1"/>
    <xf numFmtId="0" fontId="26" fillId="0" borderId="39" xfId="0" applyFont="1" applyBorder="1" applyAlignment="1">
      <alignment horizontal="left" vertical="center" shrinkToFit="1"/>
    </xf>
    <xf numFmtId="0" fontId="31" fillId="3" borderId="0" xfId="0" applyFont="1" applyFill="1" applyAlignment="1">
      <alignment horizontal="left" wrapText="1"/>
    </xf>
    <xf numFmtId="0" fontId="31" fillId="3" borderId="0" xfId="0" applyFont="1" applyFill="1" applyAlignment="1">
      <alignment horizontal="left"/>
    </xf>
    <xf numFmtId="0" fontId="20" fillId="0" borderId="40" xfId="0" applyFont="1" applyBorder="1" applyAlignment="1">
      <alignment horizontal="left" vertical="center" shrinkToFit="1"/>
    </xf>
    <xf numFmtId="0" fontId="30" fillId="3" borderId="0" xfId="0" applyFont="1" applyFill="1" applyAlignment="1">
      <alignment horizontal="left" vertical="top" wrapText="1"/>
    </xf>
    <xf numFmtId="0" fontId="20" fillId="0" borderId="2" xfId="0" applyFont="1" applyBorder="1" applyAlignment="1">
      <alignment horizontal="center" vertical="center" shrinkToFit="1"/>
    </xf>
    <xf numFmtId="0" fontId="20" fillId="0" borderId="40" xfId="0" applyFont="1" applyBorder="1" applyAlignment="1">
      <alignment horizontal="center" vertical="center" shrinkToFit="1"/>
    </xf>
    <xf numFmtId="0" fontId="30" fillId="3" borderId="29" xfId="0" applyFont="1" applyFill="1" applyBorder="1" applyAlignment="1"/>
    <xf numFmtId="0" fontId="30" fillId="3" borderId="30" xfId="0" applyFont="1" applyFill="1" applyBorder="1" applyAlignment="1"/>
    <xf numFmtId="0" fontId="28" fillId="0" borderId="39" xfId="0" applyFont="1" applyBorder="1" applyAlignment="1">
      <alignment horizontal="left" vertical="center" shrinkToFit="1"/>
    </xf>
    <xf numFmtId="0" fontId="20" fillId="0" borderId="0" xfId="0" applyFont="1" applyAlignment="1">
      <alignment horizontal="right" vertical="center"/>
    </xf>
    <xf numFmtId="0" fontId="20" fillId="0" borderId="0" xfId="0" applyFont="1" applyAlignment="1">
      <alignment horizontal="left" vertical="center"/>
    </xf>
    <xf numFmtId="0" fontId="24" fillId="0" borderId="40" xfId="0" applyFont="1" applyBorder="1" applyAlignment="1">
      <alignment horizontal="left" vertical="center"/>
    </xf>
    <xf numFmtId="0" fontId="20" fillId="0" borderId="41" xfId="0" applyFont="1" applyBorder="1" applyAlignment="1">
      <alignment horizontal="left" vertical="center"/>
    </xf>
    <xf numFmtId="0" fontId="20" fillId="0" borderId="42" xfId="0" applyFont="1" applyBorder="1" applyAlignment="1">
      <alignment horizontal="left" vertical="center"/>
    </xf>
    <xf numFmtId="0" fontId="32" fillId="0" borderId="0" xfId="6" applyFont="1" applyAlignment="1">
      <alignment horizontal="left" vertical="center"/>
    </xf>
    <xf numFmtId="0" fontId="22" fillId="0" borderId="42" xfId="0" applyFont="1" applyBorder="1" applyAlignment="1">
      <alignment horizontal="left" vertical="center"/>
    </xf>
    <xf numFmtId="0" fontId="20" fillId="0" borderId="43" xfId="0" applyFont="1" applyBorder="1">
      <alignment vertical="center"/>
    </xf>
    <xf numFmtId="0" fontId="22" fillId="0" borderId="24" xfId="0" applyFont="1" applyBorder="1">
      <alignment vertical="center"/>
    </xf>
    <xf numFmtId="0" fontId="22" fillId="0" borderId="38" xfId="0" applyFont="1" applyBorder="1">
      <alignment vertical="center"/>
    </xf>
    <xf numFmtId="0" fontId="21" fillId="0" borderId="44" xfId="0" applyFont="1" applyBorder="1" applyAlignment="1">
      <alignment horizontal="center" vertical="center"/>
    </xf>
    <xf numFmtId="0" fontId="21" fillId="0" borderId="44" xfId="0" applyFont="1" applyBorder="1" applyAlignment="1">
      <alignment horizontal="center" vertical="center" shrinkToFit="1"/>
    </xf>
    <xf numFmtId="0" fontId="21" fillId="0" borderId="43" xfId="0" applyFont="1" applyBorder="1" applyAlignment="1">
      <alignment horizontal="center" vertical="center" shrinkToFit="1"/>
    </xf>
    <xf numFmtId="0" fontId="7" fillId="0" borderId="9" xfId="0" applyFont="1" applyBorder="1" applyAlignment="1">
      <alignment horizontal="center" vertical="center"/>
    </xf>
    <xf numFmtId="0" fontId="20" fillId="0" borderId="42" xfId="0" applyFont="1" applyBorder="1" applyAlignment="1">
      <alignment horizontal="center" vertical="center" shrinkToFit="1"/>
    </xf>
    <xf numFmtId="0" fontId="20" fillId="0" borderId="45" xfId="0" applyFont="1" applyBorder="1" applyAlignment="1">
      <alignment horizontal="center" vertical="center" shrinkToFit="1"/>
    </xf>
    <xf numFmtId="0" fontId="0" fillId="0" borderId="18" xfId="0" applyFont="1" applyBorder="1" applyAlignment="1">
      <alignment vertical="center" shrinkToFit="1"/>
    </xf>
    <xf numFmtId="0" fontId="22" fillId="0" borderId="19" xfId="0" applyFont="1" applyBorder="1" applyAlignment="1">
      <alignment horizontal="center" vertical="center" shrinkToFit="1"/>
    </xf>
    <xf numFmtId="0" fontId="22" fillId="0" borderId="11" xfId="0" applyFont="1" applyBorder="1" applyAlignment="1">
      <alignment horizontal="center" vertical="center" shrinkToFit="1"/>
    </xf>
    <xf numFmtId="0" fontId="22" fillId="0" borderId="2" xfId="0" applyFont="1" applyBorder="1" applyAlignment="1">
      <alignment horizontal="center" vertical="center" shrinkToFit="1"/>
    </xf>
    <xf numFmtId="0" fontId="22" fillId="0" borderId="21" xfId="0" applyFont="1" applyBorder="1" applyAlignment="1">
      <alignment horizontal="center" vertical="center" shrinkToFit="1"/>
    </xf>
    <xf numFmtId="0" fontId="0" fillId="0" borderId="9" xfId="0" applyFont="1" applyBorder="1" applyAlignment="1">
      <alignment vertical="center" shrinkToFit="1"/>
    </xf>
    <xf numFmtId="0" fontId="30" fillId="3" borderId="38" xfId="0" applyFont="1" applyFill="1" applyBorder="1" applyAlignment="1"/>
    <xf numFmtId="0" fontId="30" fillId="3" borderId="42" xfId="0" applyFont="1" applyFill="1" applyBorder="1" applyAlignment="1"/>
    <xf numFmtId="0" fontId="31" fillId="3" borderId="42" xfId="0" applyFont="1" applyFill="1" applyBorder="1" applyAlignment="1">
      <alignment horizontal="left"/>
    </xf>
    <xf numFmtId="0" fontId="30" fillId="3" borderId="42" xfId="0" applyFont="1" applyFill="1" applyBorder="1" applyAlignment="1">
      <alignment horizontal="left" vertical="top" wrapText="1"/>
    </xf>
    <xf numFmtId="0" fontId="30" fillId="3" borderId="4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FF"/>
      <color rgb="00D9D9D9"/>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47625</xdr:colOff>
      <xdr:row>17</xdr:row>
      <xdr:rowOff>38100</xdr:rowOff>
    </xdr:from>
    <xdr:to>
      <xdr:col>33</xdr:col>
      <xdr:colOff>0</xdr:colOff>
      <xdr:row>21</xdr:row>
      <xdr:rowOff>419100</xdr:rowOff>
    </xdr:to>
    <xdr:pic>
      <xdr:nvPicPr>
        <xdr:cNvPr id="23436" name="图片 1"/>
        <xdr:cNvPicPr>
          <a:picLocks noChangeAspect="1"/>
        </xdr:cNvPicPr>
      </xdr:nvPicPr>
      <xdr:blipFill>
        <a:blip r:embed="rId1"/>
        <a:stretch>
          <a:fillRect/>
        </a:stretch>
      </xdr:blipFill>
      <xdr:spPr>
        <a:xfrm>
          <a:off x="14144625" y="3171825"/>
          <a:ext cx="7496175" cy="114935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8</xdr:row>
      <xdr:rowOff>0</xdr:rowOff>
    </xdr:from>
    <xdr:to>
      <xdr:col>7</xdr:col>
      <xdr:colOff>733425</xdr:colOff>
      <xdr:row>8</xdr:row>
      <xdr:rowOff>66675</xdr:rowOff>
    </xdr:to>
    <xdr:sp>
      <xdr:nvSpPr>
        <xdr:cNvPr id="133759" name="Line 1033"/>
        <xdr:cNvSpPr/>
      </xdr:nvSpPr>
      <xdr:spPr>
        <a:xfrm rot="-180000">
          <a:off x="5619750" y="1804035"/>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0</xdr:colOff>
      <xdr:row>10</xdr:row>
      <xdr:rowOff>0</xdr:rowOff>
    </xdr:from>
    <xdr:to>
      <xdr:col>7</xdr:col>
      <xdr:colOff>723900</xdr:colOff>
      <xdr:row>10</xdr:row>
      <xdr:rowOff>0</xdr:rowOff>
    </xdr:to>
    <xdr:sp>
      <xdr:nvSpPr>
        <xdr:cNvPr id="133760" name="Line 1034"/>
        <xdr:cNvSpPr/>
      </xdr:nvSpPr>
      <xdr:spPr>
        <a:xfrm>
          <a:off x="5610225" y="218503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57150</xdr:colOff>
      <xdr:row>6</xdr:row>
      <xdr:rowOff>0</xdr:rowOff>
    </xdr:from>
    <xdr:to>
      <xdr:col>7</xdr:col>
      <xdr:colOff>781050</xdr:colOff>
      <xdr:row>6</xdr:row>
      <xdr:rowOff>66675</xdr:rowOff>
    </xdr:to>
    <xdr:sp>
      <xdr:nvSpPr>
        <xdr:cNvPr id="133761" name="Line 1033"/>
        <xdr:cNvSpPr/>
      </xdr:nvSpPr>
      <xdr:spPr>
        <a:xfrm rot="-180000">
          <a:off x="5667375" y="1498600"/>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19050</xdr:colOff>
      <xdr:row>12</xdr:row>
      <xdr:rowOff>28575</xdr:rowOff>
    </xdr:from>
    <xdr:to>
      <xdr:col>7</xdr:col>
      <xdr:colOff>742950</xdr:colOff>
      <xdr:row>12</xdr:row>
      <xdr:rowOff>28575</xdr:rowOff>
    </xdr:to>
    <xdr:sp>
      <xdr:nvSpPr>
        <xdr:cNvPr id="133762" name="Line 1034"/>
        <xdr:cNvSpPr/>
      </xdr:nvSpPr>
      <xdr:spPr>
        <a:xfrm>
          <a:off x="5629275" y="251142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C22"/>
  <sheetViews>
    <sheetView showZeros="0" tabSelected="1" view="pageBreakPreview" zoomScaleNormal="100" workbookViewId="0">
      <selection activeCell="A1" sqref="A1:S1"/>
    </sheetView>
  </sheetViews>
  <sheetFormatPr defaultColWidth="9" defaultRowHeight="14.25"/>
  <cols>
    <col min="1" max="1" width="6.25" style="150" customWidth="1"/>
    <col min="2" max="2" width="7.375" style="150" customWidth="1"/>
    <col min="3" max="3" width="9.875" style="150" customWidth="1"/>
    <col min="4" max="4" width="25.5" style="150" customWidth="1"/>
    <col min="5" max="5" width="10.875" style="150" customWidth="1"/>
    <col min="6" max="6" width="12.375" style="150" customWidth="1"/>
    <col min="7" max="7" width="11" style="150" customWidth="1"/>
    <col min="8" max="8" width="6.75" style="150" customWidth="1"/>
    <col min="9" max="9" width="7.875" style="151" customWidth="1"/>
    <col min="10" max="10" width="7.125" style="150" customWidth="1"/>
    <col min="11" max="11" width="7.625" style="150" customWidth="1"/>
    <col min="12" max="12" width="5.375" style="150" customWidth="1"/>
    <col min="13" max="13" width="5.25" style="150" customWidth="1"/>
    <col min="14" max="14" width="5.125" style="150" customWidth="1"/>
    <col min="15" max="15" width="7.25" style="150" customWidth="1"/>
    <col min="16" max="16" width="4.125" style="150" customWidth="1"/>
    <col min="17" max="17" width="6.25" style="150" customWidth="1"/>
    <col min="18" max="18" width="7.625" style="150" customWidth="1"/>
    <col min="19" max="19" width="8.5" style="150" customWidth="1"/>
    <col min="20" max="20" width="8.25" style="150" customWidth="1"/>
    <col min="21" max="21" width="7.75" style="150" customWidth="1"/>
    <col min="22" max="22" width="6.875" style="150" customWidth="1"/>
    <col min="23" max="16384" width="9" style="150"/>
  </cols>
  <sheetData>
    <row r="1" ht="33" customHeight="1" spans="1:19">
      <c r="A1" s="152" t="s">
        <v>0</v>
      </c>
      <c r="B1" s="152"/>
      <c r="C1" s="152"/>
      <c r="D1" s="152"/>
      <c r="E1" s="152"/>
      <c r="F1" s="152"/>
      <c r="G1" s="152"/>
      <c r="H1" s="152"/>
      <c r="I1" s="218"/>
      <c r="J1" s="152"/>
      <c r="K1" s="152"/>
      <c r="L1" s="152"/>
      <c r="M1" s="152"/>
      <c r="N1" s="152"/>
      <c r="O1" s="152"/>
      <c r="P1" s="152"/>
      <c r="Q1" s="152"/>
      <c r="R1" s="152"/>
      <c r="S1" s="152"/>
    </row>
    <row r="2" s="148" customFormat="1" ht="12.75" spans="1:19">
      <c r="A2" s="153" t="s">
        <v>1</v>
      </c>
      <c r="B2" s="153"/>
      <c r="C2" s="154"/>
      <c r="D2" s="154"/>
      <c r="E2" s="154"/>
      <c r="F2" s="153" t="s">
        <v>2</v>
      </c>
      <c r="G2" s="154"/>
      <c r="H2" s="154"/>
      <c r="I2" s="153" t="s">
        <v>3</v>
      </c>
      <c r="J2" s="154"/>
      <c r="K2" s="154"/>
      <c r="L2" s="154"/>
      <c r="M2" s="154"/>
      <c r="N2" s="154"/>
      <c r="O2" s="219"/>
      <c r="P2" s="219"/>
      <c r="Q2" s="219"/>
      <c r="R2" s="219"/>
      <c r="S2" s="219"/>
    </row>
    <row r="3" s="148" customFormat="1" ht="12" spans="1:27">
      <c r="A3" s="155" t="s">
        <v>4</v>
      </c>
      <c r="B3" s="156"/>
      <c r="C3" s="156" t="s">
        <v>5</v>
      </c>
      <c r="D3" s="157"/>
      <c r="E3" s="158" t="s">
        <v>6</v>
      </c>
      <c r="F3" s="159" t="s">
        <v>7</v>
      </c>
      <c r="G3" s="158" t="s">
        <v>8</v>
      </c>
      <c r="H3" s="160"/>
      <c r="I3" s="220"/>
      <c r="J3" s="221"/>
      <c r="K3" s="158" t="s">
        <v>9</v>
      </c>
      <c r="L3" s="160"/>
      <c r="M3" s="160"/>
      <c r="N3" s="221"/>
      <c r="O3" s="158" t="s">
        <v>10</v>
      </c>
      <c r="P3" s="160"/>
      <c r="Q3" s="160"/>
      <c r="R3" s="160"/>
      <c r="S3" s="245"/>
      <c r="U3" s="246" t="s">
        <v>11</v>
      </c>
      <c r="V3" s="247" t="s">
        <v>12</v>
      </c>
      <c r="W3" s="247"/>
      <c r="X3" s="247"/>
      <c r="Y3" s="247"/>
      <c r="Z3" s="247"/>
      <c r="AA3" s="287"/>
    </row>
    <row r="4" spans="1:27">
      <c r="A4" s="161" t="s">
        <v>13</v>
      </c>
      <c r="B4" s="162"/>
      <c r="C4" s="162"/>
      <c r="D4" s="163"/>
      <c r="E4" s="164" t="s">
        <v>14</v>
      </c>
      <c r="F4" s="165"/>
      <c r="G4" s="164"/>
      <c r="H4" s="166"/>
      <c r="I4" s="222"/>
      <c r="J4" s="223"/>
      <c r="K4" s="164"/>
      <c r="L4" s="166"/>
      <c r="M4" s="166"/>
      <c r="N4" s="165"/>
      <c r="O4" s="164"/>
      <c r="P4" s="166"/>
      <c r="Q4" s="166"/>
      <c r="R4" s="166"/>
      <c r="S4" s="248"/>
      <c r="U4" s="249" t="s">
        <v>15</v>
      </c>
      <c r="V4" s="250">
        <f>I12</f>
        <v>0</v>
      </c>
      <c r="W4" s="251" t="s">
        <v>16</v>
      </c>
      <c r="X4" s="251" t="s">
        <v>17</v>
      </c>
      <c r="Y4" s="251" t="s">
        <v>18</v>
      </c>
      <c r="Z4" s="251"/>
      <c r="AA4" s="288"/>
    </row>
    <row r="5" s="148" customFormat="1" ht="12" spans="1:27">
      <c r="A5" s="167" t="s">
        <v>19</v>
      </c>
      <c r="B5" s="168"/>
      <c r="C5" s="169"/>
      <c r="D5" s="170"/>
      <c r="E5" s="171" t="s">
        <v>20</v>
      </c>
      <c r="F5" s="172" t="s">
        <v>7</v>
      </c>
      <c r="G5" s="173" t="s">
        <v>21</v>
      </c>
      <c r="H5" s="174"/>
      <c r="I5" s="224"/>
      <c r="J5" s="225"/>
      <c r="K5" s="226" t="s">
        <v>22</v>
      </c>
      <c r="L5" s="174"/>
      <c r="M5" s="174"/>
      <c r="N5" s="225"/>
      <c r="O5" s="185"/>
      <c r="P5" s="178"/>
      <c r="Q5" s="178"/>
      <c r="R5" s="178"/>
      <c r="S5" s="252"/>
      <c r="U5" s="253" t="s">
        <v>23</v>
      </c>
      <c r="V5" s="254" t="s">
        <v>13</v>
      </c>
      <c r="W5" s="254"/>
      <c r="X5" s="254"/>
      <c r="Y5" s="254"/>
      <c r="Z5" s="254"/>
      <c r="AA5" s="288"/>
    </row>
    <row r="6" ht="15" spans="1:27">
      <c r="A6" s="175" t="s">
        <v>24</v>
      </c>
      <c r="B6" s="162"/>
      <c r="C6" s="162"/>
      <c r="D6" s="163"/>
      <c r="E6" s="176" t="s">
        <v>25</v>
      </c>
      <c r="F6" s="177"/>
      <c r="G6" s="164"/>
      <c r="H6" s="166"/>
      <c r="I6" s="222"/>
      <c r="J6" s="165"/>
      <c r="K6" s="164"/>
      <c r="L6" s="166"/>
      <c r="M6" s="166"/>
      <c r="N6" s="165"/>
      <c r="O6" s="176"/>
      <c r="P6" s="182"/>
      <c r="Q6" s="182"/>
      <c r="R6" s="182"/>
      <c r="S6" s="255"/>
      <c r="U6" s="253" t="s">
        <v>26</v>
      </c>
      <c r="V6" s="254"/>
      <c r="W6" s="254"/>
      <c r="X6" s="254"/>
      <c r="Y6" s="254"/>
      <c r="Z6" s="254"/>
      <c r="AA6" s="288"/>
    </row>
    <row r="7" s="148" customFormat="1" ht="12" spans="1:27">
      <c r="A7" s="167" t="s">
        <v>27</v>
      </c>
      <c r="B7" s="168"/>
      <c r="C7" s="156" t="s">
        <v>5</v>
      </c>
      <c r="D7" s="157"/>
      <c r="E7" s="171" t="s">
        <v>28</v>
      </c>
      <c r="F7" s="172">
        <v>9810</v>
      </c>
      <c r="G7" s="171" t="s">
        <v>29</v>
      </c>
      <c r="H7" s="178" t="s">
        <v>7</v>
      </c>
      <c r="I7" s="227"/>
      <c r="J7" s="186"/>
      <c r="K7" s="171" t="s">
        <v>30</v>
      </c>
      <c r="L7" s="178"/>
      <c r="M7" s="178"/>
      <c r="N7" s="186"/>
      <c r="O7" s="171"/>
      <c r="P7" s="178"/>
      <c r="Q7" s="178"/>
      <c r="R7" s="178"/>
      <c r="S7" s="252"/>
      <c r="U7" s="249" t="s">
        <v>31</v>
      </c>
      <c r="V7" s="251"/>
      <c r="W7" s="251"/>
      <c r="X7" s="251" t="s">
        <v>32</v>
      </c>
      <c r="Y7" s="251"/>
      <c r="Z7" s="254"/>
      <c r="AA7" s="288"/>
    </row>
    <row r="8" spans="1:27">
      <c r="A8" s="161" t="s">
        <v>13</v>
      </c>
      <c r="B8" s="162"/>
      <c r="C8" s="162"/>
      <c r="D8" s="163"/>
      <c r="E8" s="179" t="s">
        <v>33</v>
      </c>
      <c r="F8" s="180"/>
      <c r="G8" s="179" t="s">
        <v>34</v>
      </c>
      <c r="H8" s="181"/>
      <c r="I8" s="228"/>
      <c r="J8" s="229"/>
      <c r="K8" s="176" t="s">
        <v>35</v>
      </c>
      <c r="L8" s="182"/>
      <c r="M8" s="182"/>
      <c r="N8" s="177"/>
      <c r="O8" s="176"/>
      <c r="P8" s="182"/>
      <c r="Q8" s="182"/>
      <c r="R8" s="182"/>
      <c r="S8" s="255"/>
      <c r="U8" s="253" t="s">
        <v>36</v>
      </c>
      <c r="V8" s="256" t="s">
        <v>37</v>
      </c>
      <c r="W8" s="257"/>
      <c r="X8" s="257"/>
      <c r="Y8" s="257"/>
      <c r="Z8" s="257"/>
      <c r="AA8" s="289"/>
    </row>
    <row r="9" s="148" customFormat="1" ht="12" spans="1:27">
      <c r="A9" s="167" t="s">
        <v>38</v>
      </c>
      <c r="B9" s="168"/>
      <c r="C9" s="168"/>
      <c r="D9" s="170"/>
      <c r="E9" s="171" t="s">
        <v>39</v>
      </c>
      <c r="F9" s="172" t="s">
        <v>7</v>
      </c>
      <c r="G9" s="171" t="s">
        <v>40</v>
      </c>
      <c r="H9" s="178" t="s">
        <v>7</v>
      </c>
      <c r="I9" s="227"/>
      <c r="J9" s="178"/>
      <c r="K9" s="171" t="s">
        <v>41</v>
      </c>
      <c r="L9" s="178" t="s">
        <v>7</v>
      </c>
      <c r="M9" s="178"/>
      <c r="N9" s="186"/>
      <c r="O9" s="226" t="s">
        <v>42</v>
      </c>
      <c r="P9" s="174" t="s">
        <v>7</v>
      </c>
      <c r="Q9" s="174"/>
      <c r="R9" s="174"/>
      <c r="S9" s="258"/>
      <c r="U9" s="249" t="s">
        <v>43</v>
      </c>
      <c r="V9" s="259"/>
      <c r="W9" s="259"/>
      <c r="X9" s="259"/>
      <c r="Y9" s="259"/>
      <c r="Z9" s="259"/>
      <c r="AA9" s="290"/>
    </row>
    <row r="10" spans="1:27">
      <c r="A10" s="161" t="s">
        <v>44</v>
      </c>
      <c r="B10" s="162"/>
      <c r="C10" s="162"/>
      <c r="D10" s="163"/>
      <c r="E10" s="179" t="s">
        <v>45</v>
      </c>
      <c r="F10" s="180"/>
      <c r="G10" s="176" t="s">
        <v>45</v>
      </c>
      <c r="H10" s="182"/>
      <c r="I10" s="182"/>
      <c r="J10" s="182"/>
      <c r="K10" s="176" t="s">
        <v>45</v>
      </c>
      <c r="L10" s="182"/>
      <c r="M10" s="182"/>
      <c r="N10" s="177"/>
      <c r="O10" s="164"/>
      <c r="P10" s="166"/>
      <c r="Q10" s="166"/>
      <c r="R10" s="166"/>
      <c r="S10" s="248"/>
      <c r="U10" s="253" t="s">
        <v>46</v>
      </c>
      <c r="V10" s="254"/>
      <c r="W10" s="254"/>
      <c r="X10" s="254" t="s">
        <v>47</v>
      </c>
      <c r="Y10" s="254"/>
      <c r="Z10" s="254"/>
      <c r="AA10" s="288"/>
    </row>
    <row r="11" s="148" customFormat="1" ht="12.75" spans="1:27">
      <c r="A11" s="167" t="s">
        <v>48</v>
      </c>
      <c r="B11" s="168"/>
      <c r="C11" s="168"/>
      <c r="D11" s="170"/>
      <c r="E11" s="183" t="s">
        <v>49</v>
      </c>
      <c r="F11" s="184" t="s">
        <v>50</v>
      </c>
      <c r="G11" s="185" t="s">
        <v>51</v>
      </c>
      <c r="H11" s="186"/>
      <c r="I11" s="230" t="s">
        <v>52</v>
      </c>
      <c r="J11" s="231" t="s">
        <v>53</v>
      </c>
      <c r="K11" s="226" t="s">
        <v>54</v>
      </c>
      <c r="L11" s="174"/>
      <c r="M11" s="225"/>
      <c r="N11" s="232" t="s">
        <v>55</v>
      </c>
      <c r="O11" s="174"/>
      <c r="P11" s="225"/>
      <c r="Q11" s="226" t="s">
        <v>56</v>
      </c>
      <c r="R11" s="260"/>
      <c r="S11" s="261"/>
      <c r="U11" s="262" t="s">
        <v>57</v>
      </c>
      <c r="V11" s="263"/>
      <c r="W11" s="263"/>
      <c r="X11" s="263" t="s">
        <v>58</v>
      </c>
      <c r="Y11" s="263"/>
      <c r="Z11" s="263"/>
      <c r="AA11" s="291"/>
    </row>
    <row r="12" spans="1:28">
      <c r="A12" s="161" t="s">
        <v>59</v>
      </c>
      <c r="B12" s="162"/>
      <c r="C12" s="162"/>
      <c r="D12" s="163"/>
      <c r="E12" s="187" t="s">
        <v>60</v>
      </c>
      <c r="F12" s="187" t="s">
        <v>61</v>
      </c>
      <c r="G12" s="179" t="s">
        <v>62</v>
      </c>
      <c r="H12" s="180"/>
      <c r="I12" s="179"/>
      <c r="J12" s="181"/>
      <c r="K12" s="233"/>
      <c r="L12" s="234"/>
      <c r="M12" s="235"/>
      <c r="N12" s="234"/>
      <c r="O12" s="234"/>
      <c r="P12" s="235"/>
      <c r="Q12" s="233"/>
      <c r="R12" s="234"/>
      <c r="S12" s="264"/>
      <c r="T12" s="265" t="s">
        <v>63</v>
      </c>
      <c r="U12" s="265"/>
      <c r="V12" s="265"/>
      <c r="W12" s="266" t="s">
        <v>64</v>
      </c>
      <c r="X12" s="266"/>
      <c r="Y12" s="266"/>
      <c r="Z12" s="266"/>
      <c r="AA12" s="266"/>
      <c r="AB12" s="266"/>
    </row>
    <row r="13" s="148" customFormat="1" ht="12" spans="1:28">
      <c r="A13" s="188" t="s">
        <v>65</v>
      </c>
      <c r="B13" s="189"/>
      <c r="C13" s="190"/>
      <c r="D13" s="190"/>
      <c r="E13" s="190"/>
      <c r="F13" s="190"/>
      <c r="G13" s="190"/>
      <c r="H13" s="190"/>
      <c r="I13" s="190"/>
      <c r="J13" s="190"/>
      <c r="K13" s="190"/>
      <c r="L13" s="190"/>
      <c r="M13" s="190"/>
      <c r="N13" s="190"/>
      <c r="O13" s="190"/>
      <c r="P13" s="190"/>
      <c r="Q13" s="190"/>
      <c r="R13" s="190"/>
      <c r="S13" s="267"/>
      <c r="T13" s="265" t="s">
        <v>66</v>
      </c>
      <c r="U13" s="265"/>
      <c r="V13" s="265"/>
      <c r="W13" s="266" t="s">
        <v>67</v>
      </c>
      <c r="X13" s="266"/>
      <c r="Y13" s="266"/>
      <c r="Z13" s="266"/>
      <c r="AA13" s="266"/>
      <c r="AB13" s="266"/>
    </row>
    <row r="14" s="148" customFormat="1" ht="12.75" spans="1:28">
      <c r="A14" s="191" t="s">
        <v>68</v>
      </c>
      <c r="B14" s="192"/>
      <c r="C14" s="192"/>
      <c r="D14" s="193" t="str">
        <f>A6</f>
        <v>Amazon</v>
      </c>
      <c r="E14" s="193"/>
      <c r="F14" s="193"/>
      <c r="G14" s="193"/>
      <c r="H14" s="193"/>
      <c r="I14" s="193"/>
      <c r="J14" s="193"/>
      <c r="K14" s="193"/>
      <c r="L14" s="193"/>
      <c r="M14" s="193"/>
      <c r="N14" s="193"/>
      <c r="O14" s="193"/>
      <c r="P14" s="193"/>
      <c r="Q14" s="193"/>
      <c r="R14" s="193"/>
      <c r="S14" s="268"/>
      <c r="T14" s="265" t="s">
        <v>69</v>
      </c>
      <c r="U14" s="265"/>
      <c r="V14" s="265"/>
      <c r="W14" s="266" t="s">
        <v>70</v>
      </c>
      <c r="X14" s="266"/>
      <c r="Y14" s="266"/>
      <c r="Z14" s="266"/>
      <c r="AA14" s="266"/>
      <c r="AB14" s="266"/>
    </row>
    <row r="15" s="148" customFormat="1" ht="13.5" spans="1:28">
      <c r="A15" s="194" t="s">
        <v>71</v>
      </c>
      <c r="B15" s="195"/>
      <c r="C15" s="196" t="s">
        <v>72</v>
      </c>
      <c r="D15" s="196"/>
      <c r="E15" s="196"/>
      <c r="F15" s="196"/>
      <c r="G15" s="196"/>
      <c r="H15" s="196"/>
      <c r="I15" s="196"/>
      <c r="J15" s="196"/>
      <c r="K15" s="196"/>
      <c r="L15" s="196"/>
      <c r="M15" s="196"/>
      <c r="N15" s="196"/>
      <c r="O15" s="196"/>
      <c r="P15" s="196"/>
      <c r="Q15" s="196"/>
      <c r="R15" s="196"/>
      <c r="S15" s="269"/>
      <c r="T15" s="265" t="s">
        <v>73</v>
      </c>
      <c r="U15" s="265"/>
      <c r="V15" s="265"/>
      <c r="W15" s="270" t="s">
        <v>74</v>
      </c>
      <c r="X15" s="270"/>
      <c r="Y15" s="270"/>
      <c r="Z15" s="270"/>
      <c r="AA15" s="270"/>
      <c r="AB15" s="270"/>
    </row>
    <row r="16" ht="15" spans="1:28">
      <c r="A16" s="194" t="s">
        <v>75</v>
      </c>
      <c r="B16" s="197" t="s">
        <v>76</v>
      </c>
      <c r="C16" s="197"/>
      <c r="D16" s="197"/>
      <c r="E16" s="197"/>
      <c r="F16" s="197"/>
      <c r="G16" s="197"/>
      <c r="H16" s="197"/>
      <c r="I16" s="197"/>
      <c r="J16" s="197"/>
      <c r="K16" s="197"/>
      <c r="L16" s="197"/>
      <c r="M16" s="197"/>
      <c r="N16" s="197"/>
      <c r="O16" s="197"/>
      <c r="P16" s="197"/>
      <c r="Q16" s="197"/>
      <c r="R16" s="197"/>
      <c r="S16" s="271"/>
      <c r="T16" s="265" t="s">
        <v>77</v>
      </c>
      <c r="U16" s="265"/>
      <c r="V16" s="265"/>
      <c r="W16" s="270" t="s">
        <v>78</v>
      </c>
      <c r="X16" s="270"/>
      <c r="Y16" s="270"/>
      <c r="Z16" s="270"/>
      <c r="AA16" s="270"/>
      <c r="AB16" s="270"/>
    </row>
    <row r="17" ht="15" spans="1:29">
      <c r="A17" s="198"/>
      <c r="B17" s="199"/>
      <c r="C17" s="199"/>
      <c r="D17" s="199"/>
      <c r="E17" s="199"/>
      <c r="F17" s="199"/>
      <c r="G17" s="199"/>
      <c r="H17" s="199"/>
      <c r="I17" s="199"/>
      <c r="J17" s="199"/>
      <c r="K17" s="199"/>
      <c r="L17" s="236"/>
      <c r="M17" s="236"/>
      <c r="N17" s="236"/>
      <c r="O17" s="196"/>
      <c r="P17" s="196"/>
      <c r="Q17" s="196"/>
      <c r="R17" s="196"/>
      <c r="S17" s="269"/>
      <c r="T17" s="272" t="s">
        <v>79</v>
      </c>
      <c r="U17" s="273"/>
      <c r="V17" s="274"/>
      <c r="W17" s="266" t="s">
        <v>80</v>
      </c>
      <c r="X17" s="266"/>
      <c r="Y17" s="266"/>
      <c r="Z17" s="266"/>
      <c r="AA17" s="266"/>
      <c r="AB17" s="266"/>
      <c r="AC17" s="266"/>
    </row>
    <row r="18" s="149" customFormat="1" spans="1:22">
      <c r="A18" s="200" t="s">
        <v>81</v>
      </c>
      <c r="B18" s="201"/>
      <c r="C18" s="202"/>
      <c r="D18" s="203" t="s">
        <v>82</v>
      </c>
      <c r="E18" s="202"/>
      <c r="F18" s="204" t="s">
        <v>83</v>
      </c>
      <c r="G18" s="204"/>
      <c r="H18" s="202"/>
      <c r="I18" s="203" t="s">
        <v>84</v>
      </c>
      <c r="J18" s="204"/>
      <c r="K18" s="237" t="s">
        <v>85</v>
      </c>
      <c r="L18" s="238" t="s">
        <v>86</v>
      </c>
      <c r="M18" s="238"/>
      <c r="N18" s="238"/>
      <c r="O18" s="238"/>
      <c r="P18" s="238"/>
      <c r="Q18" s="238"/>
      <c r="R18" s="238"/>
      <c r="S18" s="275"/>
      <c r="T18" s="276" t="s">
        <v>62</v>
      </c>
      <c r="U18" s="277" t="s">
        <v>61</v>
      </c>
      <c r="V18" s="277" t="s">
        <v>60</v>
      </c>
    </row>
    <row r="19" s="148" customFormat="1" ht="12" spans="1:22">
      <c r="A19" s="205" t="s">
        <v>87</v>
      </c>
      <c r="B19" s="206" t="s">
        <v>88</v>
      </c>
      <c r="C19" s="206"/>
      <c r="D19" s="206" t="s">
        <v>89</v>
      </c>
      <c r="E19" s="206"/>
      <c r="F19" s="206"/>
      <c r="G19" s="206" t="s">
        <v>90</v>
      </c>
      <c r="H19" s="206"/>
      <c r="I19" s="206" t="s">
        <v>91</v>
      </c>
      <c r="J19" s="206"/>
      <c r="K19" s="206" t="s">
        <v>92</v>
      </c>
      <c r="L19" s="206"/>
      <c r="M19" s="206" t="s">
        <v>93</v>
      </c>
      <c r="N19" s="206"/>
      <c r="O19" s="206"/>
      <c r="P19" s="206" t="s">
        <v>94</v>
      </c>
      <c r="Q19" s="206"/>
      <c r="R19" s="206"/>
      <c r="S19" s="278" t="s">
        <v>95</v>
      </c>
      <c r="T19" s="279" t="s">
        <v>96</v>
      </c>
      <c r="U19" s="280" t="s">
        <v>97</v>
      </c>
      <c r="V19" s="280" t="s">
        <v>49</v>
      </c>
    </row>
    <row r="20" spans="1:22">
      <c r="A20" s="207" t="s">
        <v>98</v>
      </c>
      <c r="B20" s="208" t="s">
        <v>99</v>
      </c>
      <c r="C20" s="208"/>
      <c r="D20" s="209" t="s">
        <v>100</v>
      </c>
      <c r="E20" s="209"/>
      <c r="F20" s="209"/>
      <c r="G20" s="210" t="s">
        <v>101</v>
      </c>
      <c r="H20" s="211" t="s">
        <v>102</v>
      </c>
      <c r="I20" s="239" t="s">
        <v>103</v>
      </c>
      <c r="J20" s="240"/>
      <c r="K20" s="241" t="s">
        <v>104</v>
      </c>
      <c r="L20" s="241"/>
      <c r="M20" s="242" t="s">
        <v>45</v>
      </c>
      <c r="N20" s="242"/>
      <c r="O20" s="242"/>
      <c r="P20" s="242" t="s">
        <v>105</v>
      </c>
      <c r="Q20" s="242"/>
      <c r="R20" s="242"/>
      <c r="S20" s="281" t="s">
        <v>106</v>
      </c>
      <c r="T20" s="282" t="s">
        <v>101</v>
      </c>
      <c r="U20" s="283" t="s">
        <v>61</v>
      </c>
      <c r="V20" s="284" t="s">
        <v>60</v>
      </c>
    </row>
    <row r="21" ht="20" customHeight="1" spans="1:22">
      <c r="A21" s="207"/>
      <c r="B21" s="212"/>
      <c r="C21" s="212"/>
      <c r="D21" s="213" t="s">
        <v>107</v>
      </c>
      <c r="E21" s="213"/>
      <c r="F21" s="213"/>
      <c r="G21" s="214" t="s">
        <v>108</v>
      </c>
      <c r="H21" s="210" t="s">
        <v>109</v>
      </c>
      <c r="I21" s="239" t="s">
        <v>110</v>
      </c>
      <c r="J21" s="240"/>
      <c r="K21" s="241"/>
      <c r="L21" s="241"/>
      <c r="M21" s="241"/>
      <c r="N21" s="241"/>
      <c r="O21" s="241"/>
      <c r="P21" s="241"/>
      <c r="Q21" s="241"/>
      <c r="R21" s="241"/>
      <c r="S21" s="281"/>
      <c r="T21" s="282"/>
      <c r="U21" s="285"/>
      <c r="V21" s="240"/>
    </row>
    <row r="22" ht="33" customHeight="1" spans="1:22">
      <c r="A22" s="215"/>
      <c r="B22" s="166"/>
      <c r="C22" s="166"/>
      <c r="D22" s="216"/>
      <c r="E22" s="216"/>
      <c r="F22" s="216"/>
      <c r="G22" s="217" t="s">
        <v>111</v>
      </c>
      <c r="H22" s="217" t="s">
        <v>112</v>
      </c>
      <c r="I22" s="243" t="s">
        <v>113</v>
      </c>
      <c r="J22" s="244"/>
      <c r="K22" s="244"/>
      <c r="L22" s="244"/>
      <c r="M22" s="244"/>
      <c r="N22" s="244"/>
      <c r="O22" s="244"/>
      <c r="P22" s="244"/>
      <c r="Q22" s="244"/>
      <c r="R22" s="244"/>
      <c r="S22" s="286"/>
      <c r="T22" s="282"/>
      <c r="U22" s="285"/>
      <c r="V22" s="240"/>
    </row>
  </sheetData>
  <mergeCells count="108">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V8:AA8"/>
    <mergeCell ref="A9:B9"/>
    <mergeCell ref="C9:D9"/>
    <mergeCell ref="H9:J9"/>
    <mergeCell ref="L9:N9"/>
    <mergeCell ref="P9:S9"/>
    <mergeCell ref="V9:AA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T20:T22"/>
    <mergeCell ref="U20:U22"/>
    <mergeCell ref="V20:V22"/>
    <mergeCell ref="D21:F22"/>
  </mergeCells>
  <hyperlinks>
    <hyperlink ref="U16" r:id="rId2"/>
    <hyperlink ref="U15" r:id="rId2"/>
    <hyperlink ref="W15" r:id="rId2" display="https://e-service.shciq.gov.cn/shesp/" tooltip="https://e-service.shciq.gov.cn/shesp/"/>
    <hyperlink ref="W16" r:id="rId3" display="http://www.hscode.net/IntegrateQueries/QueryYS/"/>
  </hyperlinks>
  <pageMargins left="0.16" right="0.04" top="0.16" bottom="0.08" header="0.08" footer="0.12"/>
  <pageSetup paperSize="9" scale="47" fitToHeight="0" orientation="landscape" horizontalDpi="600" verticalDpi="6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3"/>
  <sheetViews>
    <sheetView showZeros="0" workbookViewId="0">
      <selection activeCell="H60" sqref="H60"/>
    </sheetView>
  </sheetViews>
  <sheetFormatPr defaultColWidth="9" defaultRowHeight="14.25"/>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72" customHeight="1" spans="1:8">
      <c r="A1" s="3" t="s">
        <v>114</v>
      </c>
      <c r="B1" s="3"/>
      <c r="C1" s="3"/>
      <c r="D1" s="3"/>
      <c r="E1" s="3"/>
      <c r="F1" s="3"/>
      <c r="G1" s="3"/>
      <c r="H1" s="3"/>
    </row>
    <row r="2" ht="26.1" customHeight="1" spans="1:8">
      <c r="A2" s="4"/>
      <c r="B2" s="4"/>
      <c r="C2" s="4"/>
      <c r="D2" s="4"/>
      <c r="E2" s="4"/>
      <c r="F2" s="6" t="s">
        <v>115</v>
      </c>
      <c r="G2" s="127" t="str">
        <f>报关单!A10</f>
        <v>{number}</v>
      </c>
      <c r="H2" s="127"/>
    </row>
    <row r="3" ht="33.95" customHeight="1" spans="1:8">
      <c r="A3" s="89" t="s">
        <v>116</v>
      </c>
      <c r="B3" s="89"/>
      <c r="C3" s="96" t="str">
        <f>报关单!A6</f>
        <v>Amazon</v>
      </c>
      <c r="D3" s="96"/>
      <c r="E3" s="77"/>
      <c r="F3" s="128" t="s">
        <v>117</v>
      </c>
      <c r="G3" s="129">
        <f ca="1">TODAY()-1</f>
        <v>46163</v>
      </c>
      <c r="H3" s="130"/>
    </row>
    <row r="4" ht="15.75" customHeight="1" spans="1:8">
      <c r="A4" s="131"/>
      <c r="B4" s="106"/>
      <c r="C4" s="71"/>
      <c r="D4" s="71"/>
      <c r="E4" s="77"/>
      <c r="F4" s="71"/>
      <c r="G4" s="71"/>
      <c r="H4" s="71"/>
    </row>
    <row r="5" ht="6" customHeight="1" spans="1:8">
      <c r="A5" s="77"/>
      <c r="B5" s="71"/>
      <c r="C5" s="71"/>
      <c r="D5" s="77"/>
      <c r="E5" s="77"/>
      <c r="F5" s="77"/>
      <c r="G5" s="77"/>
      <c r="H5" s="77"/>
    </row>
    <row r="6" ht="18" customHeight="1" spans="1:8">
      <c r="A6" s="77"/>
      <c r="B6" s="71"/>
      <c r="C6" s="71"/>
      <c r="D6" s="77"/>
      <c r="E6" s="77"/>
      <c r="F6" s="79" t="s">
        <v>118</v>
      </c>
      <c r="G6" s="77">
        <f>报关单!V4</f>
        <v>0</v>
      </c>
      <c r="H6" s="77" t="str">
        <f>报关单!W4</f>
        <v>SHENZHEN</v>
      </c>
    </row>
    <row r="7" ht="30" customHeight="1" spans="1:8">
      <c r="A7" s="113" t="s">
        <v>119</v>
      </c>
      <c r="B7" s="132"/>
      <c r="C7" s="113" t="s">
        <v>120</v>
      </c>
      <c r="D7" s="113" t="s">
        <v>121</v>
      </c>
      <c r="E7" s="113"/>
      <c r="F7" s="113" t="s">
        <v>122</v>
      </c>
      <c r="G7" s="113" t="s">
        <v>123</v>
      </c>
      <c r="H7" s="113"/>
    </row>
    <row r="8" ht="30" customHeight="1" spans="1:9">
      <c r="A8" s="133" t="s">
        <v>124</v>
      </c>
      <c r="B8" s="133"/>
      <c r="C8" s="134" t="str">
        <f ca="1">OFFSET(报关单!$D$1,ROW(报关单!D1)*3+16,0)</f>
        <v>{list.materialcn}</v>
      </c>
      <c r="D8" s="134" t="str">
        <f ca="1">OFFSET(报关单!$G$1,ROW(报关单!G1)*3+18,0)</f>
        <v>{list.qty}</v>
      </c>
      <c r="E8" s="135" t="str">
        <f ca="1">OFFSET(报关单!$H$1,ROW(报关单!H1)*3+18,0)</f>
        <v>{list.unit}</v>
      </c>
      <c r="F8" s="136">
        <f ca="1">IFERROR(H8/D8,0)</f>
        <v>0</v>
      </c>
      <c r="G8" s="137" t="str">
        <f ca="1">OFFSET(报关单!$I$1,ROW(报关单!I1)*3+18,0)</f>
        <v>{list.currency}</v>
      </c>
      <c r="H8" s="136" t="str">
        <f ca="1">OFFSET(报关单!$I$1,ROW(报关单!I1)*3+17,0)</f>
        <v>{list.price}</v>
      </c>
      <c r="I8" s="147"/>
    </row>
    <row r="9" ht="30" customHeight="1" spans="1:8">
      <c r="A9" s="133"/>
      <c r="B9" s="133"/>
      <c r="C9" s="134">
        <f ca="1">OFFSET(报关单!$D$1,ROW(报关单!D2)*3+16,0)</f>
        <v>0</v>
      </c>
      <c r="D9" s="134">
        <f ca="1">OFFSET(报关单!$G$1,ROW(报关单!G2)*3+18,0)</f>
        <v>0</v>
      </c>
      <c r="E9" s="135">
        <f ca="1">OFFSET(报关单!$H$1,ROW(报关单!H2)*3+18,0)</f>
        <v>0</v>
      </c>
      <c r="F9" s="136">
        <f ca="1">IFERROR(H9/D9,0)</f>
        <v>0</v>
      </c>
      <c r="G9" s="137">
        <f ca="1">OFFSET(报关单!$I$1,ROW(报关单!I2)*3+18,0)</f>
        <v>0</v>
      </c>
      <c r="H9" s="136">
        <f ca="1">OFFSET(报关单!$I$1,ROW(报关单!I2)*3+17,0)</f>
        <v>0</v>
      </c>
    </row>
    <row r="10" ht="30" customHeight="1" spans="1:8">
      <c r="A10" s="133"/>
      <c r="B10" s="133"/>
      <c r="C10" s="134">
        <f ca="1">OFFSET(报关单!$D$1,ROW(报关单!D3)*3+16,0)</f>
        <v>0</v>
      </c>
      <c r="D10" s="134">
        <f ca="1">OFFSET(报关单!$G$1,ROW(报关单!G3)*3+18,0)</f>
        <v>0</v>
      </c>
      <c r="E10" s="135">
        <f ca="1">OFFSET(报关单!$H$1,ROW(报关单!H3)*3+18,0)</f>
        <v>0</v>
      </c>
      <c r="F10" s="136">
        <f ca="1" t="shared" ref="F10:F41" si="0">IFERROR(H10/D10,0)</f>
        <v>0</v>
      </c>
      <c r="G10" s="137">
        <f ca="1">OFFSET(报关单!$I$1,ROW(报关单!I3)*3+18,0)</f>
        <v>0</v>
      </c>
      <c r="H10" s="136">
        <f ca="1">OFFSET(报关单!$I$1,ROW(报关单!I3)*3+17,0)</f>
        <v>0</v>
      </c>
    </row>
    <row r="11" ht="30" customHeight="1" spans="1:8">
      <c r="A11" s="133"/>
      <c r="B11" s="133"/>
      <c r="C11" s="134">
        <f ca="1">OFFSET(报关单!$D$1,ROW(报关单!D4)*3+16,0)</f>
        <v>0</v>
      </c>
      <c r="D11" s="134">
        <f ca="1">OFFSET(报关单!$G$1,ROW(报关单!G4)*3+18,0)</f>
        <v>0</v>
      </c>
      <c r="E11" s="135">
        <f ca="1">OFFSET(报关单!$H$1,ROW(报关单!H4)*3+18,0)</f>
        <v>0</v>
      </c>
      <c r="F11" s="136">
        <f ca="1" t="shared" si="0"/>
        <v>0</v>
      </c>
      <c r="G11" s="137">
        <f ca="1">OFFSET(报关单!$I$1,ROW(报关单!I4)*3+18,0)</f>
        <v>0</v>
      </c>
      <c r="H11" s="136">
        <f ca="1">OFFSET(报关单!$I$1,ROW(报关单!I4)*3+17,0)</f>
        <v>0</v>
      </c>
    </row>
    <row r="12" ht="30" customHeight="1" spans="1:8">
      <c r="A12" s="133"/>
      <c r="B12" s="133"/>
      <c r="C12" s="134">
        <f ca="1">OFFSET(报关单!$D$1,ROW(报关单!D5)*3+16,0)</f>
        <v>0</v>
      </c>
      <c r="D12" s="134">
        <f ca="1">OFFSET(报关单!$G$1,ROW(报关单!G5)*3+18,0)</f>
        <v>0</v>
      </c>
      <c r="E12" s="135">
        <f ca="1">OFFSET(报关单!$H$1,ROW(报关单!H5)*3+18,0)</f>
        <v>0</v>
      </c>
      <c r="F12" s="136">
        <f ca="1" t="shared" si="0"/>
        <v>0</v>
      </c>
      <c r="G12" s="137">
        <f ca="1">OFFSET(报关单!$I$1,ROW(报关单!I5)*3+18,0)</f>
        <v>0</v>
      </c>
      <c r="H12" s="136">
        <f ca="1">OFFSET(报关单!$I$1,ROW(报关单!I5)*3+17,0)</f>
        <v>0</v>
      </c>
    </row>
    <row r="13" ht="30" customHeight="1" spans="1:8">
      <c r="A13" s="133"/>
      <c r="B13" s="133"/>
      <c r="C13" s="134">
        <f ca="1">OFFSET(报关单!$D$1,ROW(报关单!D6)*3+16,0)</f>
        <v>0</v>
      </c>
      <c r="D13" s="134">
        <f ca="1">OFFSET(报关单!$G$1,ROW(报关单!G6)*3+18,0)</f>
        <v>0</v>
      </c>
      <c r="E13" s="135">
        <f ca="1">OFFSET(报关单!$H$1,ROW(报关单!H6)*3+18,0)</f>
        <v>0</v>
      </c>
      <c r="F13" s="136">
        <f ca="1" t="shared" si="0"/>
        <v>0</v>
      </c>
      <c r="G13" s="137">
        <f ca="1">OFFSET(报关单!$I$1,ROW(报关单!I6)*3+18,0)</f>
        <v>0</v>
      </c>
      <c r="H13" s="136">
        <f ca="1">OFFSET(报关单!$I$1,ROW(报关单!I6)*3+17,0)</f>
        <v>0</v>
      </c>
    </row>
    <row r="14" ht="30" customHeight="1" spans="1:8">
      <c r="A14" s="133"/>
      <c r="B14" s="133"/>
      <c r="C14" s="134">
        <f ca="1">OFFSET(报关单!$D$1,ROW(报关单!D7)*3+16,0)</f>
        <v>0</v>
      </c>
      <c r="D14" s="134">
        <f ca="1">OFFSET(报关单!$G$1,ROW(报关单!G7)*3+18,0)</f>
        <v>0</v>
      </c>
      <c r="E14" s="135">
        <f ca="1">OFFSET(报关单!$H$1,ROW(报关单!H7)*3+18,0)</f>
        <v>0</v>
      </c>
      <c r="F14" s="136">
        <f ca="1" t="shared" si="0"/>
        <v>0</v>
      </c>
      <c r="G14" s="137">
        <f ca="1">OFFSET(报关单!$I$1,ROW(报关单!I7)*3+18,0)</f>
        <v>0</v>
      </c>
      <c r="H14" s="136">
        <f ca="1">OFFSET(报关单!$I$1,ROW(报关单!I7)*3+17,0)</f>
        <v>0</v>
      </c>
    </row>
    <row r="15" ht="30" customHeight="1" spans="1:8">
      <c r="A15" s="133"/>
      <c r="B15" s="133"/>
      <c r="C15" s="134">
        <f ca="1">OFFSET(报关单!$D$1,ROW(报关单!D8)*3+16,0)</f>
        <v>0</v>
      </c>
      <c r="D15" s="134">
        <f ca="1">OFFSET(报关单!$G$1,ROW(报关单!G8)*3+18,0)</f>
        <v>0</v>
      </c>
      <c r="E15" s="135">
        <f ca="1">OFFSET(报关单!$H$1,ROW(报关单!H8)*3+18,0)</f>
        <v>0</v>
      </c>
      <c r="F15" s="136">
        <f ca="1" t="shared" si="0"/>
        <v>0</v>
      </c>
      <c r="G15" s="137">
        <f ca="1">OFFSET(报关单!$I$1,ROW(报关单!I8)*3+18,0)</f>
        <v>0</v>
      </c>
      <c r="H15" s="136">
        <f ca="1">OFFSET(报关单!$I$1,ROW(报关单!I8)*3+17,0)</f>
        <v>0</v>
      </c>
    </row>
    <row r="16" ht="30" customHeight="1" spans="1:8">
      <c r="A16" s="133"/>
      <c r="B16" s="133"/>
      <c r="C16" s="134">
        <f ca="1">OFFSET(报关单!$D$1,ROW(报关单!D9)*3+16,0)</f>
        <v>0</v>
      </c>
      <c r="D16" s="134">
        <f ca="1">OFFSET(报关单!$G$1,ROW(报关单!G9)*3+18,0)</f>
        <v>0</v>
      </c>
      <c r="E16" s="135">
        <f ca="1">OFFSET(报关单!$H$1,ROW(报关单!H9)*3+18,0)</f>
        <v>0</v>
      </c>
      <c r="F16" s="136">
        <f ca="1" t="shared" si="0"/>
        <v>0</v>
      </c>
      <c r="G16" s="137">
        <f ca="1">OFFSET(报关单!$I$1,ROW(报关单!I9)*3+18,0)</f>
        <v>0</v>
      </c>
      <c r="H16" s="136">
        <f ca="1">OFFSET(报关单!$I$1,ROW(报关单!I9)*3+17,0)</f>
        <v>0</v>
      </c>
    </row>
    <row r="17" ht="30" customHeight="1" spans="1:8">
      <c r="A17" s="133"/>
      <c r="B17" s="133"/>
      <c r="C17" s="134">
        <f ca="1">OFFSET(报关单!$D$1,ROW(报关单!D10)*3+16,0)</f>
        <v>0</v>
      </c>
      <c r="D17" s="134">
        <f ca="1">OFFSET(报关单!$G$1,ROW(报关单!G10)*3+18,0)</f>
        <v>0</v>
      </c>
      <c r="E17" s="135">
        <f ca="1">OFFSET(报关单!$H$1,ROW(报关单!H10)*3+18,0)</f>
        <v>0</v>
      </c>
      <c r="F17" s="136">
        <f ca="1" t="shared" si="0"/>
        <v>0</v>
      </c>
      <c r="G17" s="137">
        <f ca="1">OFFSET(报关单!$I$1,ROW(报关单!I10)*3+18,0)</f>
        <v>0</v>
      </c>
      <c r="H17" s="136">
        <f ca="1">OFFSET(报关单!$I$1,ROW(报关单!I10)*3+17,0)</f>
        <v>0</v>
      </c>
    </row>
    <row r="18" ht="30" customHeight="1" spans="1:8">
      <c r="A18" s="133"/>
      <c r="B18" s="133"/>
      <c r="C18" s="134">
        <f ca="1">OFFSET(报关单!$D$1,ROW(报关单!D11)*3+16,0)</f>
        <v>0</v>
      </c>
      <c r="D18" s="134">
        <f ca="1">OFFSET(报关单!$G$1,ROW(报关单!G11)*3+18,0)</f>
        <v>0</v>
      </c>
      <c r="E18" s="135">
        <f ca="1">OFFSET(报关单!$H$1,ROW(报关单!H11)*3+18,0)</f>
        <v>0</v>
      </c>
      <c r="F18" s="136">
        <f ca="1" t="shared" si="0"/>
        <v>0</v>
      </c>
      <c r="G18" s="137">
        <f ca="1">OFFSET(报关单!$I$1,ROW(报关单!I11)*3+18,0)</f>
        <v>0</v>
      </c>
      <c r="H18" s="136">
        <f ca="1">OFFSET(报关单!$I$1,ROW(报关单!I11)*3+17,0)</f>
        <v>0</v>
      </c>
    </row>
    <row r="19" ht="30" customHeight="1" spans="1:8">
      <c r="A19" s="133"/>
      <c r="B19" s="133"/>
      <c r="C19" s="134">
        <f ca="1">OFFSET(报关单!$D$1,ROW(报关单!D12)*3+16,0)</f>
        <v>0</v>
      </c>
      <c r="D19" s="134">
        <f ca="1">OFFSET(报关单!$G$1,ROW(报关单!G12)*3+18,0)</f>
        <v>0</v>
      </c>
      <c r="E19" s="135">
        <f ca="1">OFFSET(报关单!$H$1,ROW(报关单!H12)*3+18,0)</f>
        <v>0</v>
      </c>
      <c r="F19" s="136">
        <f ca="1" t="shared" si="0"/>
        <v>0</v>
      </c>
      <c r="G19" s="137">
        <f ca="1">OFFSET(报关单!$I$1,ROW(报关单!I12)*3+18,0)</f>
        <v>0</v>
      </c>
      <c r="H19" s="136">
        <f ca="1">OFFSET(报关单!$I$1,ROW(报关单!I12)*3+17,0)</f>
        <v>0</v>
      </c>
    </row>
    <row r="20" ht="30" customHeight="1" spans="1:8">
      <c r="A20" s="133"/>
      <c r="B20" s="133"/>
      <c r="C20" s="134">
        <f ca="1">OFFSET(报关单!$D$1,ROW(报关单!D13)*3+16,0)</f>
        <v>0</v>
      </c>
      <c r="D20" s="134">
        <f ca="1">OFFSET(报关单!$G$1,ROW(报关单!G13)*3+18,0)</f>
        <v>0</v>
      </c>
      <c r="E20" s="135">
        <f ca="1">OFFSET(报关单!$H$1,ROW(报关单!H13)*3+18,0)</f>
        <v>0</v>
      </c>
      <c r="F20" s="136">
        <f ca="1" t="shared" si="0"/>
        <v>0</v>
      </c>
      <c r="G20" s="137">
        <f ca="1">OFFSET(报关单!$I$1,ROW(报关单!I13)*3+18,0)</f>
        <v>0</v>
      </c>
      <c r="H20" s="136">
        <f ca="1">OFFSET(报关单!$I$1,ROW(报关单!I13)*3+17,0)</f>
        <v>0</v>
      </c>
    </row>
    <row r="21" ht="30" customHeight="1" spans="1:8">
      <c r="A21" s="133"/>
      <c r="B21" s="133"/>
      <c r="C21" s="134">
        <f ca="1">OFFSET(报关单!$D$1,ROW(报关单!D14)*3+16,0)</f>
        <v>0</v>
      </c>
      <c r="D21" s="134">
        <f ca="1">OFFSET(报关单!$G$1,ROW(报关单!G14)*3+18,0)</f>
        <v>0</v>
      </c>
      <c r="E21" s="135">
        <f ca="1">OFFSET(报关单!$H$1,ROW(报关单!H14)*3+18,0)</f>
        <v>0</v>
      </c>
      <c r="F21" s="136">
        <f ca="1" t="shared" si="0"/>
        <v>0</v>
      </c>
      <c r="G21" s="137">
        <f ca="1">OFFSET(报关单!$I$1,ROW(报关单!I14)*3+18,0)</f>
        <v>0</v>
      </c>
      <c r="H21" s="136">
        <f ca="1">OFFSET(报关单!$I$1,ROW(报关单!I14)*3+17,0)</f>
        <v>0</v>
      </c>
    </row>
    <row r="22" ht="30" customHeight="1" spans="1:8">
      <c r="A22" s="133"/>
      <c r="B22" s="133"/>
      <c r="C22" s="134">
        <f ca="1">OFFSET(报关单!$D$1,ROW(报关单!D15)*3+16,0)</f>
        <v>0</v>
      </c>
      <c r="D22" s="134">
        <f ca="1">OFFSET(报关单!$G$1,ROW(报关单!G15)*3+18,0)</f>
        <v>0</v>
      </c>
      <c r="E22" s="135">
        <f ca="1">OFFSET(报关单!$H$1,ROW(报关单!H15)*3+18,0)</f>
        <v>0</v>
      </c>
      <c r="F22" s="136">
        <f ca="1" t="shared" si="0"/>
        <v>0</v>
      </c>
      <c r="G22" s="137">
        <f ca="1">OFFSET(报关单!$I$1,ROW(报关单!I15)*3+18,0)</f>
        <v>0</v>
      </c>
      <c r="H22" s="136">
        <f ca="1">OFFSET(报关单!$I$1,ROW(报关单!I15)*3+17,0)</f>
        <v>0</v>
      </c>
    </row>
    <row r="23" ht="30" customHeight="1" spans="1:8">
      <c r="A23" s="133"/>
      <c r="B23" s="133"/>
      <c r="C23" s="134">
        <f ca="1">OFFSET(报关单!$D$1,ROW(报关单!D16)*3+16,0)</f>
        <v>0</v>
      </c>
      <c r="D23" s="134">
        <f ca="1">OFFSET(报关单!$G$1,ROW(报关单!G16)*3+18,0)</f>
        <v>0</v>
      </c>
      <c r="E23" s="135">
        <f ca="1">OFFSET(报关单!$H$1,ROW(报关单!H16)*3+18,0)</f>
        <v>0</v>
      </c>
      <c r="F23" s="136">
        <f ca="1" t="shared" si="0"/>
        <v>0</v>
      </c>
      <c r="G23" s="137">
        <f ca="1">OFFSET(报关单!$I$1,ROW(报关单!I16)*3+18,0)</f>
        <v>0</v>
      </c>
      <c r="H23" s="136">
        <f ca="1">OFFSET(报关单!$I$1,ROW(报关单!I16)*3+17,0)</f>
        <v>0</v>
      </c>
    </row>
    <row r="24" ht="30" customHeight="1" spans="1:8">
      <c r="A24" s="133"/>
      <c r="B24" s="133"/>
      <c r="C24" s="134">
        <f ca="1">OFFSET(报关单!$D$1,ROW(报关单!D17)*3+16,0)</f>
        <v>0</v>
      </c>
      <c r="D24" s="134">
        <f ca="1">OFFSET(报关单!$G$1,ROW(报关单!G17)*3+18,0)</f>
        <v>0</v>
      </c>
      <c r="E24" s="135">
        <f ca="1">OFFSET(报关单!$H$1,ROW(报关单!H17)*3+18,0)</f>
        <v>0</v>
      </c>
      <c r="F24" s="136">
        <f ca="1" t="shared" si="0"/>
        <v>0</v>
      </c>
      <c r="G24" s="137">
        <f ca="1">OFFSET(报关单!$I$1,ROW(报关单!I17)*3+18,0)</f>
        <v>0</v>
      </c>
      <c r="H24" s="136">
        <f ca="1">OFFSET(报关单!$I$1,ROW(报关单!I17)*3+17,0)</f>
        <v>0</v>
      </c>
    </row>
    <row r="25" ht="30" customHeight="1" spans="1:8">
      <c r="A25" s="133"/>
      <c r="B25" s="133"/>
      <c r="C25" s="134">
        <f ca="1">OFFSET(报关单!$D$1,ROW(报关单!D18)*3+16,0)</f>
        <v>0</v>
      </c>
      <c r="D25" s="134">
        <f ca="1">OFFSET(报关单!$G$1,ROW(报关单!G18)*3+18,0)</f>
        <v>0</v>
      </c>
      <c r="E25" s="135">
        <f ca="1">OFFSET(报关单!$H$1,ROW(报关单!H18)*3+18,0)</f>
        <v>0</v>
      </c>
      <c r="F25" s="136">
        <f ca="1" t="shared" si="0"/>
        <v>0</v>
      </c>
      <c r="G25" s="137">
        <f ca="1">OFFSET(报关单!$I$1,ROW(报关单!I18)*3+18,0)</f>
        <v>0</v>
      </c>
      <c r="H25" s="136">
        <f ca="1">OFFSET(报关单!$I$1,ROW(报关单!I18)*3+17,0)</f>
        <v>0</v>
      </c>
    </row>
    <row r="26" ht="30" customHeight="1" spans="1:8">
      <c r="A26" s="133"/>
      <c r="B26" s="133"/>
      <c r="C26" s="134">
        <f ca="1">OFFSET(报关单!$D$1,ROW(报关单!D19)*3+16,0)</f>
        <v>0</v>
      </c>
      <c r="D26" s="134">
        <f ca="1">OFFSET(报关单!$G$1,ROW(报关单!G19)*3+18,0)</f>
        <v>0</v>
      </c>
      <c r="E26" s="135">
        <f ca="1">OFFSET(报关单!$H$1,ROW(报关单!H19)*3+18,0)</f>
        <v>0</v>
      </c>
      <c r="F26" s="136">
        <f ca="1" t="shared" si="0"/>
        <v>0</v>
      </c>
      <c r="G26" s="137">
        <f ca="1">OFFSET(报关单!$I$1,ROW(报关单!I19)*3+18,0)</f>
        <v>0</v>
      </c>
      <c r="H26" s="136">
        <f ca="1">OFFSET(报关单!$I$1,ROW(报关单!I19)*3+17,0)</f>
        <v>0</v>
      </c>
    </row>
    <row r="27" ht="30" customHeight="1" spans="1:8">
      <c r="A27" s="133"/>
      <c r="B27" s="133"/>
      <c r="C27" s="134">
        <f ca="1">OFFSET(报关单!$D$1,ROW(报关单!D20)*3+16,0)</f>
        <v>0</v>
      </c>
      <c r="D27" s="134">
        <f ca="1">OFFSET(报关单!$G$1,ROW(报关单!G20)*3+18,0)</f>
        <v>0</v>
      </c>
      <c r="E27" s="135">
        <f ca="1">OFFSET(报关单!$H$1,ROW(报关单!H20)*3+18,0)</f>
        <v>0</v>
      </c>
      <c r="F27" s="136">
        <f ca="1" t="shared" si="0"/>
        <v>0</v>
      </c>
      <c r="G27" s="137">
        <f ca="1">OFFSET(报关单!$I$1,ROW(报关单!I20)*3+18,0)</f>
        <v>0</v>
      </c>
      <c r="H27" s="136">
        <f ca="1">OFFSET(报关单!$I$1,ROW(报关单!I20)*3+17,0)</f>
        <v>0</v>
      </c>
    </row>
    <row r="28" ht="30" customHeight="1" spans="1:8">
      <c r="A28" s="133"/>
      <c r="B28" s="133"/>
      <c r="C28" s="134">
        <f ca="1">OFFSET(报关单!$D$1,ROW(报关单!D21)*3+16,0)</f>
        <v>0</v>
      </c>
      <c r="D28" s="134">
        <f ca="1">OFFSET(报关单!$G$1,ROW(报关单!G21)*3+18,0)</f>
        <v>0</v>
      </c>
      <c r="E28" s="135">
        <f ca="1">OFFSET(报关单!$H$1,ROW(报关单!H21)*3+18,0)</f>
        <v>0</v>
      </c>
      <c r="F28" s="136">
        <f ca="1" t="shared" si="0"/>
        <v>0</v>
      </c>
      <c r="G28" s="137">
        <f ca="1">OFFSET(报关单!$I$1,ROW(报关单!I21)*3+18,0)</f>
        <v>0</v>
      </c>
      <c r="H28" s="136">
        <f ca="1">OFFSET(报关单!$I$1,ROW(报关单!I21)*3+17,0)</f>
        <v>0</v>
      </c>
    </row>
    <row r="29" ht="30" customHeight="1" spans="1:8">
      <c r="A29" s="133"/>
      <c r="B29" s="133"/>
      <c r="C29" s="134">
        <f ca="1">OFFSET(报关单!$D$1,ROW(报关单!D22)*3+16,0)</f>
        <v>0</v>
      </c>
      <c r="D29" s="134">
        <f ca="1">OFFSET(报关单!$G$1,ROW(报关单!G22)*3+18,0)</f>
        <v>0</v>
      </c>
      <c r="E29" s="135">
        <f ca="1">OFFSET(报关单!$H$1,ROW(报关单!H22)*3+18,0)</f>
        <v>0</v>
      </c>
      <c r="F29" s="136">
        <f ca="1" t="shared" si="0"/>
        <v>0</v>
      </c>
      <c r="G29" s="137">
        <f ca="1">OFFSET(报关单!$I$1,ROW(报关单!I22)*3+18,0)</f>
        <v>0</v>
      </c>
      <c r="H29" s="136">
        <f ca="1">OFFSET(报关单!$I$1,ROW(报关单!I22)*3+17,0)</f>
        <v>0</v>
      </c>
    </row>
    <row r="30" ht="30" customHeight="1" spans="1:8">
      <c r="A30" s="133"/>
      <c r="B30" s="133"/>
      <c r="C30" s="134">
        <f ca="1">OFFSET(报关单!$D$1,ROW(报关单!D23)*3+16,0)</f>
        <v>0</v>
      </c>
      <c r="D30" s="134">
        <f ca="1">OFFSET(报关单!$G$1,ROW(报关单!G23)*3+18,0)</f>
        <v>0</v>
      </c>
      <c r="E30" s="135">
        <f ca="1">OFFSET(报关单!$H$1,ROW(报关单!H23)*3+18,0)</f>
        <v>0</v>
      </c>
      <c r="F30" s="136">
        <f ca="1" t="shared" si="0"/>
        <v>0</v>
      </c>
      <c r="G30" s="137">
        <f ca="1">OFFSET(报关单!$I$1,ROW(报关单!I23)*3+18,0)</f>
        <v>0</v>
      </c>
      <c r="H30" s="136">
        <f ca="1">OFFSET(报关单!$I$1,ROW(报关单!I23)*3+17,0)</f>
        <v>0</v>
      </c>
    </row>
    <row r="31" ht="25.5" customHeight="1" spans="1:8">
      <c r="A31" s="133"/>
      <c r="B31" s="133"/>
      <c r="C31" s="134">
        <f ca="1">OFFSET(报关单!$D$1,ROW(报关单!D24)*3+16,0)</f>
        <v>0</v>
      </c>
      <c r="D31" s="134">
        <f ca="1">OFFSET(报关单!$G$1,ROW(报关单!G24)*3+18,0)</f>
        <v>0</v>
      </c>
      <c r="E31" s="135">
        <f ca="1">OFFSET(报关单!$H$1,ROW(报关单!H24)*3+18,0)</f>
        <v>0</v>
      </c>
      <c r="F31" s="136">
        <f ca="1" t="shared" si="0"/>
        <v>0</v>
      </c>
      <c r="G31" s="137">
        <f ca="1">OFFSET(报关单!$I$1,ROW(报关单!I24)*3+18,0)</f>
        <v>0</v>
      </c>
      <c r="H31" s="136">
        <f ca="1">OFFSET(报关单!$I$1,ROW(报关单!I24)*3+17,0)</f>
        <v>0</v>
      </c>
    </row>
    <row r="32" ht="25.5" customHeight="1" spans="1:8">
      <c r="A32" s="133"/>
      <c r="B32" s="133"/>
      <c r="C32" s="134">
        <f ca="1">OFFSET(报关单!$D$1,ROW(报关单!D25)*3+16,0)</f>
        <v>0</v>
      </c>
      <c r="D32" s="134">
        <f ca="1">OFFSET(报关单!$G$1,ROW(报关单!G25)*3+18,0)</f>
        <v>0</v>
      </c>
      <c r="E32" s="135">
        <f ca="1">OFFSET(报关单!$H$1,ROW(报关单!H25)*3+18,0)</f>
        <v>0</v>
      </c>
      <c r="F32" s="136">
        <f ca="1" t="shared" si="0"/>
        <v>0</v>
      </c>
      <c r="G32" s="137">
        <f ca="1">OFFSET(报关单!$I$1,ROW(报关单!I25)*3+18,0)</f>
        <v>0</v>
      </c>
      <c r="H32" s="136">
        <f ca="1">OFFSET(报关单!$I$1,ROW(报关单!I25)*3+17,0)</f>
        <v>0</v>
      </c>
    </row>
    <row r="33" ht="25.5" customHeight="1" spans="1:8">
      <c r="A33" s="133"/>
      <c r="B33" s="133"/>
      <c r="C33" s="134">
        <f ca="1">OFFSET(报关单!$D$1,ROW(报关单!D26)*3+16,0)</f>
        <v>0</v>
      </c>
      <c r="D33" s="134">
        <f ca="1">OFFSET(报关单!$G$1,ROW(报关单!G26)*3+18,0)</f>
        <v>0</v>
      </c>
      <c r="E33" s="135">
        <f ca="1">OFFSET(报关单!$H$1,ROW(报关单!H26)*3+18,0)</f>
        <v>0</v>
      </c>
      <c r="F33" s="136">
        <f ca="1" t="shared" si="0"/>
        <v>0</v>
      </c>
      <c r="G33" s="137">
        <f ca="1">OFFSET(报关单!$I$1,ROW(报关单!I26)*3+18,0)</f>
        <v>0</v>
      </c>
      <c r="H33" s="136">
        <f ca="1">OFFSET(报关单!$I$1,ROW(报关单!I26)*3+17,0)</f>
        <v>0</v>
      </c>
    </row>
    <row r="34" ht="25.5" customHeight="1" spans="1:8">
      <c r="A34" s="133"/>
      <c r="B34" s="133"/>
      <c r="C34" s="134">
        <f ca="1">OFFSET(报关单!$D$1,ROW(报关单!D27)*3+16,0)</f>
        <v>0</v>
      </c>
      <c r="D34" s="134">
        <f ca="1">OFFSET(报关单!$G$1,ROW(报关单!G27)*3+18,0)</f>
        <v>0</v>
      </c>
      <c r="E34" s="135">
        <f ca="1">OFFSET(报关单!$H$1,ROW(报关单!H27)*3+18,0)</f>
        <v>0</v>
      </c>
      <c r="F34" s="136">
        <f ca="1" t="shared" si="0"/>
        <v>0</v>
      </c>
      <c r="G34" s="137">
        <f ca="1">OFFSET(报关单!$I$1,ROW(报关单!I27)*3+18,0)</f>
        <v>0</v>
      </c>
      <c r="H34" s="136">
        <f ca="1">OFFSET(报关单!$I$1,ROW(报关单!I27)*3+17,0)</f>
        <v>0</v>
      </c>
    </row>
    <row r="35" ht="25.5" customHeight="1" spans="1:8">
      <c r="A35" s="133"/>
      <c r="B35" s="133"/>
      <c r="C35" s="134">
        <f ca="1">OFFSET(报关单!$D$1,ROW(报关单!D28)*3+16,0)</f>
        <v>0</v>
      </c>
      <c r="D35" s="134">
        <f ca="1">OFFSET(报关单!$G$1,ROW(报关单!G28)*3+18,0)</f>
        <v>0</v>
      </c>
      <c r="E35" s="135">
        <f ca="1">OFFSET(报关单!$H$1,ROW(报关单!H28)*3+18,0)</f>
        <v>0</v>
      </c>
      <c r="F35" s="136">
        <f ca="1" t="shared" si="0"/>
        <v>0</v>
      </c>
      <c r="G35" s="137">
        <f ca="1">OFFSET(报关单!$I$1,ROW(报关单!I28)*3+18,0)</f>
        <v>0</v>
      </c>
      <c r="H35" s="136">
        <f ca="1">OFFSET(报关单!$I$1,ROW(报关单!I28)*3+17,0)</f>
        <v>0</v>
      </c>
    </row>
    <row r="36" ht="25.5" customHeight="1" spans="1:8">
      <c r="A36" s="133"/>
      <c r="B36" s="133"/>
      <c r="C36" s="134">
        <f ca="1">OFFSET(报关单!$D$1,ROW(报关单!D29)*3+16,0)</f>
        <v>0</v>
      </c>
      <c r="D36" s="134">
        <f ca="1">OFFSET(报关单!$G$1,ROW(报关单!G29)*3+18,0)</f>
        <v>0</v>
      </c>
      <c r="E36" s="135">
        <f ca="1">OFFSET(报关单!$H$1,ROW(报关单!H29)*3+18,0)</f>
        <v>0</v>
      </c>
      <c r="F36" s="136">
        <f ca="1" t="shared" si="0"/>
        <v>0</v>
      </c>
      <c r="G36" s="137">
        <f ca="1">OFFSET(报关单!$I$1,ROW(报关单!I29)*3+18,0)</f>
        <v>0</v>
      </c>
      <c r="H36" s="136">
        <f ca="1">OFFSET(报关单!$I$1,ROW(报关单!I29)*3+17,0)</f>
        <v>0</v>
      </c>
    </row>
    <row r="37" ht="25.5" customHeight="1" spans="1:8">
      <c r="A37" s="133"/>
      <c r="B37" s="133"/>
      <c r="C37" s="134">
        <f ca="1">OFFSET(报关单!$D$1,ROW(报关单!D30)*3+16,0)</f>
        <v>0</v>
      </c>
      <c r="D37" s="134">
        <f ca="1">OFFSET(报关单!$G$1,ROW(报关单!G30)*3+18,0)</f>
        <v>0</v>
      </c>
      <c r="E37" s="135">
        <f ca="1">OFFSET(报关单!$H$1,ROW(报关单!H30)*3+18,0)</f>
        <v>0</v>
      </c>
      <c r="F37" s="136">
        <f ca="1" t="shared" si="0"/>
        <v>0</v>
      </c>
      <c r="G37" s="137">
        <f ca="1">OFFSET(报关单!$I$1,ROW(报关单!I30)*3+18,0)</f>
        <v>0</v>
      </c>
      <c r="H37" s="136">
        <f ca="1">OFFSET(报关单!$I$1,ROW(报关单!I30)*3+17,0)</f>
        <v>0</v>
      </c>
    </row>
    <row r="38" ht="25.5" customHeight="1" spans="1:8">
      <c r="A38" s="133"/>
      <c r="B38" s="133"/>
      <c r="C38" s="134">
        <f ca="1">OFFSET(报关单!$D$1,ROW(报关单!D31)*3+16,0)</f>
        <v>0</v>
      </c>
      <c r="D38" s="134">
        <f ca="1">OFFSET(报关单!$G$1,ROW(报关单!G31)*3+18,0)</f>
        <v>0</v>
      </c>
      <c r="E38" s="135">
        <f ca="1">OFFSET(报关单!$H$1,ROW(报关单!H31)*3+18,0)</f>
        <v>0</v>
      </c>
      <c r="F38" s="136">
        <f ca="1" t="shared" si="0"/>
        <v>0</v>
      </c>
      <c r="G38" s="137">
        <f ca="1">OFFSET(报关单!$I$1,ROW(报关单!I31)*3+18,0)</f>
        <v>0</v>
      </c>
      <c r="H38" s="136">
        <f ca="1">OFFSET(报关单!$I$1,ROW(报关单!I31)*3+17,0)</f>
        <v>0</v>
      </c>
    </row>
    <row r="39" ht="25.5" customHeight="1" spans="1:8">
      <c r="A39" s="133"/>
      <c r="B39" s="133"/>
      <c r="C39" s="134">
        <f ca="1">OFFSET(报关单!$D$1,ROW(报关单!D32)*3+16,0)</f>
        <v>0</v>
      </c>
      <c r="D39" s="134">
        <f ca="1">OFFSET(报关单!$G$1,ROW(报关单!G32)*3+18,0)</f>
        <v>0</v>
      </c>
      <c r="E39" s="135">
        <f ca="1">OFFSET(报关单!$H$1,ROW(报关单!H32)*3+18,0)</f>
        <v>0</v>
      </c>
      <c r="F39" s="136">
        <f ca="1" t="shared" si="0"/>
        <v>0</v>
      </c>
      <c r="G39" s="137">
        <f ca="1">OFFSET(报关单!$I$1,ROW(报关单!I32)*3+18,0)</f>
        <v>0</v>
      </c>
      <c r="H39" s="136">
        <f ca="1">OFFSET(报关单!$I$1,ROW(报关单!I32)*3+17,0)</f>
        <v>0</v>
      </c>
    </row>
    <row r="40" ht="25.5" customHeight="1" spans="1:8">
      <c r="A40" s="133"/>
      <c r="B40" s="133"/>
      <c r="C40" s="134">
        <f ca="1">OFFSET(报关单!$D$1,ROW(报关单!D33)*3+16,0)</f>
        <v>0</v>
      </c>
      <c r="D40" s="134">
        <f ca="1">OFFSET(报关单!$G$1,ROW(报关单!G33)*3+18,0)</f>
        <v>0</v>
      </c>
      <c r="E40" s="135">
        <f ca="1">OFFSET(报关单!$H$1,ROW(报关单!H33)*3+18,0)</f>
        <v>0</v>
      </c>
      <c r="F40" s="136">
        <f ca="1" t="shared" si="0"/>
        <v>0</v>
      </c>
      <c r="G40" s="137">
        <f ca="1">OFFSET(报关单!$I$1,ROW(报关单!I33)*3+18,0)</f>
        <v>0</v>
      </c>
      <c r="H40" s="136">
        <f ca="1">OFFSET(报关单!$I$1,ROW(报关单!I33)*3+17,0)</f>
        <v>0</v>
      </c>
    </row>
    <row r="41" ht="25.5" customHeight="1" spans="1:8">
      <c r="A41" s="133"/>
      <c r="B41" s="133"/>
      <c r="C41" s="134">
        <f ca="1">OFFSET(报关单!$D$1,ROW(报关单!D34)*3+16,0)</f>
        <v>0</v>
      </c>
      <c r="D41" s="134">
        <f ca="1">OFFSET(报关单!$G$1,ROW(报关单!G34)*3+18,0)</f>
        <v>0</v>
      </c>
      <c r="E41" s="135">
        <f ca="1">OFFSET(报关单!$H$1,ROW(报关单!H34)*3+18,0)</f>
        <v>0</v>
      </c>
      <c r="F41" s="136">
        <f ca="1" t="shared" si="0"/>
        <v>0</v>
      </c>
      <c r="G41" s="137">
        <f ca="1">OFFSET(报关单!$I$1,ROW(报关单!I34)*3+18,0)</f>
        <v>0</v>
      </c>
      <c r="H41" s="136">
        <f ca="1">OFFSET(报关单!$I$1,ROW(报关单!I34)*3+17,0)</f>
        <v>0</v>
      </c>
    </row>
    <row r="42" ht="25.5" customHeight="1" spans="1:8">
      <c r="A42" s="133"/>
      <c r="B42" s="133"/>
      <c r="C42" s="134">
        <f ca="1">OFFSET(报关单!$D$1,ROW(报关单!D35)*3+16,0)</f>
        <v>0</v>
      </c>
      <c r="D42" s="134">
        <f ca="1">OFFSET(报关单!$G$1,ROW(报关单!G35)*3+18,0)</f>
        <v>0</v>
      </c>
      <c r="E42" s="135">
        <f ca="1">OFFSET(报关单!$H$1,ROW(报关单!H35)*3+18,0)</f>
        <v>0</v>
      </c>
      <c r="F42" s="136">
        <f ca="1" t="shared" ref="F42:F73" si="1">IFERROR(H42/D42,0)</f>
        <v>0</v>
      </c>
      <c r="G42" s="137">
        <f ca="1">OFFSET(报关单!$I$1,ROW(报关单!I35)*3+18,0)</f>
        <v>0</v>
      </c>
      <c r="H42" s="136">
        <f ca="1">OFFSET(报关单!$I$1,ROW(报关单!I35)*3+17,0)</f>
        <v>0</v>
      </c>
    </row>
    <row r="43" ht="25.5" customHeight="1" spans="1:8">
      <c r="A43" s="133"/>
      <c r="B43" s="133"/>
      <c r="C43" s="134">
        <f ca="1">OFFSET(报关单!$D$1,ROW(报关单!D36)*3+16,0)</f>
        <v>0</v>
      </c>
      <c r="D43" s="134">
        <f ca="1">OFFSET(报关单!$G$1,ROW(报关单!G36)*3+18,0)</f>
        <v>0</v>
      </c>
      <c r="E43" s="135">
        <f ca="1">OFFSET(报关单!$H$1,ROW(报关单!H36)*3+18,0)</f>
        <v>0</v>
      </c>
      <c r="F43" s="136">
        <f ca="1" t="shared" si="1"/>
        <v>0</v>
      </c>
      <c r="G43" s="137">
        <f ca="1">OFFSET(报关单!$I$1,ROW(报关单!I36)*3+18,0)</f>
        <v>0</v>
      </c>
      <c r="H43" s="136">
        <f ca="1">OFFSET(报关单!$I$1,ROW(报关单!I36)*3+17,0)</f>
        <v>0</v>
      </c>
    </row>
    <row r="44" ht="25.5" customHeight="1" spans="1:8">
      <c r="A44" s="133"/>
      <c r="B44" s="133"/>
      <c r="C44" s="134">
        <f ca="1">OFFSET(报关单!$D$1,ROW(报关单!D37)*3+16,0)</f>
        <v>0</v>
      </c>
      <c r="D44" s="134">
        <f ca="1">OFFSET(报关单!$G$1,ROW(报关单!G37)*3+18,0)</f>
        <v>0</v>
      </c>
      <c r="E44" s="135">
        <f ca="1">OFFSET(报关单!$H$1,ROW(报关单!H37)*3+18,0)</f>
        <v>0</v>
      </c>
      <c r="F44" s="136">
        <f ca="1" t="shared" si="1"/>
        <v>0</v>
      </c>
      <c r="G44" s="137">
        <f ca="1">OFFSET(报关单!$I$1,ROW(报关单!I37)*3+18,0)</f>
        <v>0</v>
      </c>
      <c r="H44" s="136">
        <f ca="1">OFFSET(报关单!$I$1,ROW(报关单!I37)*3+17,0)</f>
        <v>0</v>
      </c>
    </row>
    <row r="45" ht="25.5" customHeight="1" spans="1:8">
      <c r="A45" s="133"/>
      <c r="B45" s="133"/>
      <c r="C45" s="134">
        <f ca="1">OFFSET(报关单!$D$1,ROW(报关单!D38)*3+16,0)</f>
        <v>0</v>
      </c>
      <c r="D45" s="134">
        <f ca="1">OFFSET(报关单!$G$1,ROW(报关单!G38)*3+18,0)</f>
        <v>0</v>
      </c>
      <c r="E45" s="135">
        <f ca="1">OFFSET(报关单!$H$1,ROW(报关单!H38)*3+18,0)</f>
        <v>0</v>
      </c>
      <c r="F45" s="136">
        <f ca="1" t="shared" si="1"/>
        <v>0</v>
      </c>
      <c r="G45" s="137">
        <f ca="1">OFFSET(报关单!$I$1,ROW(报关单!I38)*3+18,0)</f>
        <v>0</v>
      </c>
      <c r="H45" s="136">
        <f ca="1">OFFSET(报关单!$I$1,ROW(报关单!I38)*3+17,0)</f>
        <v>0</v>
      </c>
    </row>
    <row r="46" ht="25.5" customHeight="1" spans="1:8">
      <c r="A46" s="133"/>
      <c r="B46" s="133"/>
      <c r="C46" s="134">
        <f ca="1">OFFSET(报关单!$D$1,ROW(报关单!D39)*3+16,0)</f>
        <v>0</v>
      </c>
      <c r="D46" s="134">
        <f ca="1">OFFSET(报关单!$G$1,ROW(报关单!G39)*3+18,0)</f>
        <v>0</v>
      </c>
      <c r="E46" s="135">
        <f ca="1">OFFSET(报关单!$H$1,ROW(报关单!H39)*3+18,0)</f>
        <v>0</v>
      </c>
      <c r="F46" s="136">
        <f ca="1" t="shared" si="1"/>
        <v>0</v>
      </c>
      <c r="G46" s="137">
        <f ca="1">OFFSET(报关单!$I$1,ROW(报关单!I39)*3+18,0)</f>
        <v>0</v>
      </c>
      <c r="H46" s="136">
        <f ca="1">OFFSET(报关单!$I$1,ROW(报关单!I39)*3+17,0)</f>
        <v>0</v>
      </c>
    </row>
    <row r="47" ht="25.5" customHeight="1" spans="1:8">
      <c r="A47" s="133"/>
      <c r="B47" s="133"/>
      <c r="C47" s="134">
        <f ca="1">OFFSET(报关单!$D$1,ROW(报关单!D40)*3+16,0)</f>
        <v>0</v>
      </c>
      <c r="D47" s="134">
        <f ca="1">OFFSET(报关单!$G$1,ROW(报关单!G40)*3+18,0)</f>
        <v>0</v>
      </c>
      <c r="E47" s="135">
        <f ca="1">OFFSET(报关单!$H$1,ROW(报关单!H40)*3+18,0)</f>
        <v>0</v>
      </c>
      <c r="F47" s="136">
        <f ca="1" t="shared" si="1"/>
        <v>0</v>
      </c>
      <c r="G47" s="137">
        <f ca="1">OFFSET(报关单!$I$1,ROW(报关单!I40)*3+18,0)</f>
        <v>0</v>
      </c>
      <c r="H47" s="136">
        <f ca="1">OFFSET(报关单!$I$1,ROW(报关单!I40)*3+17,0)</f>
        <v>0</v>
      </c>
    </row>
    <row r="48" ht="25.5" customHeight="1" spans="1:8">
      <c r="A48" s="133"/>
      <c r="B48" s="133"/>
      <c r="C48" s="134">
        <f ca="1">OFFSET(报关单!$D$1,ROW(报关单!D41)*3+16,0)</f>
        <v>0</v>
      </c>
      <c r="D48" s="134">
        <f ca="1">OFFSET(报关单!$G$1,ROW(报关单!G41)*3+18,0)</f>
        <v>0</v>
      </c>
      <c r="E48" s="135">
        <f ca="1">OFFSET(报关单!$H$1,ROW(报关单!H41)*3+18,0)</f>
        <v>0</v>
      </c>
      <c r="F48" s="136">
        <f ca="1" t="shared" si="1"/>
        <v>0</v>
      </c>
      <c r="G48" s="137">
        <f ca="1">OFFSET(报关单!$I$1,ROW(报关单!I41)*3+18,0)</f>
        <v>0</v>
      </c>
      <c r="H48" s="136">
        <f ca="1">OFFSET(报关单!$I$1,ROW(报关单!I41)*3+17,0)</f>
        <v>0</v>
      </c>
    </row>
    <row r="49" ht="25.5" customHeight="1" spans="1:8">
      <c r="A49" s="133"/>
      <c r="B49" s="133"/>
      <c r="C49" s="134">
        <f ca="1">OFFSET(报关单!$D$1,ROW(报关单!D42)*3+16,0)</f>
        <v>0</v>
      </c>
      <c r="D49" s="134">
        <f ca="1">OFFSET(报关单!$G$1,ROW(报关单!G42)*3+18,0)</f>
        <v>0</v>
      </c>
      <c r="E49" s="135">
        <f ca="1">OFFSET(报关单!$H$1,ROW(报关单!H42)*3+18,0)</f>
        <v>0</v>
      </c>
      <c r="F49" s="136">
        <f ca="1" t="shared" si="1"/>
        <v>0</v>
      </c>
      <c r="G49" s="137">
        <f ca="1">OFFSET(报关单!$I$1,ROW(报关单!I42)*3+18,0)</f>
        <v>0</v>
      </c>
      <c r="H49" s="136">
        <f ca="1">OFFSET(报关单!$I$1,ROW(报关单!I42)*3+17,0)</f>
        <v>0</v>
      </c>
    </row>
    <row r="50" ht="25.5" customHeight="1" spans="1:8">
      <c r="A50" s="133"/>
      <c r="B50" s="133"/>
      <c r="C50" s="134">
        <f ca="1">OFFSET(报关单!$D$1,ROW(报关单!D43)*3+16,0)</f>
        <v>0</v>
      </c>
      <c r="D50" s="134">
        <f ca="1">OFFSET(报关单!$G$1,ROW(报关单!G43)*3+18,0)</f>
        <v>0</v>
      </c>
      <c r="E50" s="135">
        <f ca="1">OFFSET(报关单!$H$1,ROW(报关单!H43)*3+18,0)</f>
        <v>0</v>
      </c>
      <c r="F50" s="136">
        <f ca="1" t="shared" si="1"/>
        <v>0</v>
      </c>
      <c r="G50" s="137">
        <f ca="1">OFFSET(报关单!$I$1,ROW(报关单!I43)*3+18,0)</f>
        <v>0</v>
      </c>
      <c r="H50" s="136">
        <f ca="1">OFFSET(报关单!$I$1,ROW(报关单!I43)*3+17,0)</f>
        <v>0</v>
      </c>
    </row>
    <row r="51" ht="25.5" customHeight="1" spans="1:8">
      <c r="A51" s="133"/>
      <c r="B51" s="133"/>
      <c r="C51" s="134">
        <f ca="1">OFFSET(报关单!$D$1,ROW(报关单!D44)*3+16,0)</f>
        <v>0</v>
      </c>
      <c r="D51" s="134">
        <f ca="1">OFFSET(报关单!$G$1,ROW(报关单!G44)*3+18,0)</f>
        <v>0</v>
      </c>
      <c r="E51" s="135">
        <f ca="1">OFFSET(报关单!$H$1,ROW(报关单!H44)*3+18,0)</f>
        <v>0</v>
      </c>
      <c r="F51" s="136">
        <f ca="1" t="shared" si="1"/>
        <v>0</v>
      </c>
      <c r="G51" s="137">
        <f ca="1">OFFSET(报关单!$I$1,ROW(报关单!I44)*3+18,0)</f>
        <v>0</v>
      </c>
      <c r="H51" s="136">
        <f ca="1">OFFSET(报关单!$I$1,ROW(报关单!I44)*3+17,0)</f>
        <v>0</v>
      </c>
    </row>
    <row r="52" ht="25.5" customHeight="1" spans="1:8">
      <c r="A52" s="133"/>
      <c r="B52" s="133"/>
      <c r="C52" s="134">
        <f ca="1">OFFSET(报关单!$D$1,ROW(报关单!D45)*3+16,0)</f>
        <v>0</v>
      </c>
      <c r="D52" s="134">
        <f ca="1">OFFSET(报关单!$G$1,ROW(报关单!G45)*3+18,0)</f>
        <v>0</v>
      </c>
      <c r="E52" s="135">
        <f ca="1">OFFSET(报关单!$H$1,ROW(报关单!H45)*3+18,0)</f>
        <v>0</v>
      </c>
      <c r="F52" s="136">
        <f ca="1" t="shared" si="1"/>
        <v>0</v>
      </c>
      <c r="G52" s="137">
        <f ca="1">OFFSET(报关单!$I$1,ROW(报关单!I45)*3+18,0)</f>
        <v>0</v>
      </c>
      <c r="H52" s="136">
        <f ca="1">OFFSET(报关单!$I$1,ROW(报关单!I45)*3+17,0)</f>
        <v>0</v>
      </c>
    </row>
    <row r="53" ht="25.5" customHeight="1" spans="1:8">
      <c r="A53" s="133"/>
      <c r="B53" s="133"/>
      <c r="C53" s="134">
        <f ca="1">OFFSET(报关单!$D$1,ROW(报关单!D46)*3+16,0)</f>
        <v>0</v>
      </c>
      <c r="D53" s="134">
        <f ca="1">OFFSET(报关单!$G$1,ROW(报关单!G46)*3+18,0)</f>
        <v>0</v>
      </c>
      <c r="E53" s="135">
        <f ca="1">OFFSET(报关单!$H$1,ROW(报关单!H46)*3+18,0)</f>
        <v>0</v>
      </c>
      <c r="F53" s="136">
        <f ca="1" t="shared" si="1"/>
        <v>0</v>
      </c>
      <c r="G53" s="137">
        <f ca="1">OFFSET(报关单!$I$1,ROW(报关单!I46)*3+18,0)</f>
        <v>0</v>
      </c>
      <c r="H53" s="136">
        <f ca="1">OFFSET(报关单!$I$1,ROW(报关单!I46)*3+17,0)</f>
        <v>0</v>
      </c>
    </row>
    <row r="54" ht="25.5" customHeight="1" spans="1:8">
      <c r="A54" s="133"/>
      <c r="B54" s="133"/>
      <c r="C54" s="134">
        <f ca="1">OFFSET(报关单!$D$1,ROW(报关单!D47)*3+16,0)</f>
        <v>0</v>
      </c>
      <c r="D54" s="134">
        <f ca="1">OFFSET(报关单!$G$1,ROW(报关单!G47)*3+18,0)</f>
        <v>0</v>
      </c>
      <c r="E54" s="135">
        <f ca="1">OFFSET(报关单!$H$1,ROW(报关单!H47)*3+18,0)</f>
        <v>0</v>
      </c>
      <c r="F54" s="136">
        <f ca="1" t="shared" si="1"/>
        <v>0</v>
      </c>
      <c r="G54" s="137">
        <f ca="1">OFFSET(报关单!$I$1,ROW(报关单!I47)*3+18,0)</f>
        <v>0</v>
      </c>
      <c r="H54" s="136">
        <f ca="1">OFFSET(报关单!$I$1,ROW(报关单!I47)*3+17,0)</f>
        <v>0</v>
      </c>
    </row>
    <row r="55" ht="25.5" customHeight="1" spans="1:8">
      <c r="A55" s="133"/>
      <c r="B55" s="133"/>
      <c r="C55" s="134">
        <f ca="1">OFFSET(报关单!$D$1,ROW(报关单!D48)*3+16,0)</f>
        <v>0</v>
      </c>
      <c r="D55" s="134">
        <f ca="1">OFFSET(报关单!$G$1,ROW(报关单!G48)*3+18,0)</f>
        <v>0</v>
      </c>
      <c r="E55" s="135">
        <f ca="1">OFFSET(报关单!$H$1,ROW(报关单!H48)*3+18,0)</f>
        <v>0</v>
      </c>
      <c r="F55" s="136">
        <f ca="1" t="shared" si="1"/>
        <v>0</v>
      </c>
      <c r="G55" s="137">
        <f ca="1">OFFSET(报关单!$I$1,ROW(报关单!I48)*3+18,0)</f>
        <v>0</v>
      </c>
      <c r="H55" s="136">
        <f ca="1">OFFSET(报关单!$I$1,ROW(报关单!I48)*3+17,0)</f>
        <v>0</v>
      </c>
    </row>
    <row r="56" ht="25.5" customHeight="1" spans="1:8">
      <c r="A56" s="133"/>
      <c r="B56" s="133"/>
      <c r="C56" s="134">
        <f ca="1">OFFSET(报关单!$D$1,ROW(报关单!D49)*3+16,0)</f>
        <v>0</v>
      </c>
      <c r="D56" s="134">
        <f ca="1">OFFSET(报关单!$G$1,ROW(报关单!G49)*3+18,0)</f>
        <v>0</v>
      </c>
      <c r="E56" s="135">
        <f ca="1">OFFSET(报关单!$H$1,ROW(报关单!H49)*3+18,0)</f>
        <v>0</v>
      </c>
      <c r="F56" s="136">
        <f ca="1" t="shared" si="1"/>
        <v>0</v>
      </c>
      <c r="G56" s="137">
        <f ca="1">OFFSET(报关单!$I$1,ROW(报关单!I49)*3+18,0)</f>
        <v>0</v>
      </c>
      <c r="H56" s="136">
        <f ca="1">OFFSET(报关单!$I$1,ROW(报关单!I49)*3+17,0)</f>
        <v>0</v>
      </c>
    </row>
    <row r="57" ht="25.5" customHeight="1" spans="1:8">
      <c r="A57" s="133"/>
      <c r="B57" s="133"/>
      <c r="C57" s="134">
        <f ca="1">OFFSET(报关单!$D$1,ROW(报关单!D50)*3+16,0)</f>
        <v>0</v>
      </c>
      <c r="D57" s="134">
        <f ca="1">OFFSET(报关单!$G$1,ROW(报关单!G50)*3+18,0)</f>
        <v>0</v>
      </c>
      <c r="E57" s="135">
        <f ca="1">OFFSET(报关单!$H$1,ROW(报关单!H50)*3+18,0)</f>
        <v>0</v>
      </c>
      <c r="F57" s="136">
        <f ca="1" t="shared" si="1"/>
        <v>0</v>
      </c>
      <c r="G57" s="137">
        <f ca="1">OFFSET(报关单!$I$1,ROW(报关单!I50)*3+18,0)</f>
        <v>0</v>
      </c>
      <c r="H57" s="136">
        <f ca="1">OFFSET(报关单!$I$1,ROW(报关单!I50)*3+17,0)</f>
        <v>0</v>
      </c>
    </row>
    <row r="58" ht="25.5" customHeight="1" spans="1:8">
      <c r="A58" s="133"/>
      <c r="B58" s="133"/>
      <c r="C58" s="134">
        <f ca="1">OFFSET(报关单!$D$1,ROW(报关单!D51)*3+16,0)</f>
        <v>0</v>
      </c>
      <c r="D58" s="134">
        <f ca="1">OFFSET(报关单!$G$1,ROW(报关单!G51)*3+18,0)</f>
        <v>0</v>
      </c>
      <c r="E58" s="135">
        <f ca="1">OFFSET(报关单!$H$1,ROW(报关单!H51)*3+18,0)</f>
        <v>0</v>
      </c>
      <c r="F58" s="136">
        <f ca="1" t="shared" si="1"/>
        <v>0</v>
      </c>
      <c r="G58" s="137">
        <f ca="1">OFFSET(报关单!$I$1,ROW(报关单!I51)*3+18,0)</f>
        <v>0</v>
      </c>
      <c r="H58" s="136">
        <f ca="1">OFFSET(报关单!$I$1,ROW(报关单!I51)*3+17,0)</f>
        <v>0</v>
      </c>
    </row>
    <row r="59" ht="25.5" customHeight="1" spans="1:8">
      <c r="A59" s="133"/>
      <c r="B59" s="133"/>
      <c r="C59" s="134">
        <f ca="1">OFFSET(报关单!$D$1,ROW(报关单!D52)*3+16,0)</f>
        <v>0</v>
      </c>
      <c r="D59" s="134">
        <f ca="1">OFFSET(报关单!$G$1,ROW(报关单!G52)*3+18,0)</f>
        <v>0</v>
      </c>
      <c r="E59" s="135">
        <f ca="1">OFFSET(报关单!$H$1,ROW(报关单!H52)*3+18,0)</f>
        <v>0</v>
      </c>
      <c r="F59" s="136">
        <f ca="1" t="shared" si="1"/>
        <v>0</v>
      </c>
      <c r="G59" s="137">
        <f ca="1">OFFSET(报关单!$I$1,ROW(报关单!I52)*3+18,0)</f>
        <v>0</v>
      </c>
      <c r="H59" s="136">
        <f ca="1">OFFSET(报关单!$I$1,ROW(报关单!I52)*3+17,0)</f>
        <v>0</v>
      </c>
    </row>
    <row r="60" ht="25.5" customHeight="1" spans="1:8">
      <c r="A60" s="138" t="str">
        <f ca="1">IF(G60="CNY","总计人民币:",IF(G60="USD","总计美元: ","  "))</f>
        <v>  </v>
      </c>
      <c r="B60" s="138"/>
      <c r="C60" s="139">
        <f ca="1">H60</f>
        <v>0</v>
      </c>
      <c r="D60" s="139"/>
      <c r="E60" s="139"/>
      <c r="F60" s="140" t="s">
        <v>125</v>
      </c>
      <c r="G60" s="137">
        <f ca="1">OFFSET(报关单!$I$1,ROW(报关单!I76)*3+18,0)</f>
        <v>0</v>
      </c>
      <c r="H60" s="141">
        <f ca="1">SUM(H8:J59)</f>
        <v>0</v>
      </c>
    </row>
    <row r="61" spans="1:8">
      <c r="A61" s="142" t="s">
        <v>126</v>
      </c>
      <c r="B61" s="143"/>
      <c r="C61" s="144"/>
      <c r="D61" s="75"/>
      <c r="E61" s="75"/>
      <c r="F61" s="145" t="s">
        <v>75</v>
      </c>
      <c r="G61" s="145"/>
      <c r="H61" s="145"/>
    </row>
    <row r="62" spans="1:8">
      <c r="A62" s="143"/>
      <c r="B62" s="143"/>
      <c r="C62" s="144"/>
      <c r="D62" s="75"/>
      <c r="E62" s="75"/>
      <c r="F62" s="145"/>
      <c r="G62" s="145"/>
      <c r="H62" s="145"/>
    </row>
    <row r="63" ht="18.95" customHeight="1" spans="1:8">
      <c r="A63" s="143"/>
      <c r="B63" s="143"/>
      <c r="C63" s="75"/>
      <c r="D63" s="75"/>
      <c r="E63" s="75"/>
      <c r="F63" s="75"/>
      <c r="G63" s="75"/>
      <c r="H63" s="75"/>
    </row>
    <row r="64" spans="1:8">
      <c r="A64" s="146"/>
      <c r="B64" s="77"/>
      <c r="C64" s="77"/>
      <c r="D64" s="77"/>
      <c r="E64" s="77"/>
      <c r="F64" s="77"/>
      <c r="G64" s="77"/>
      <c r="H64" s="77"/>
    </row>
    <row r="65" spans="1:8">
      <c r="A65" s="146"/>
      <c r="B65" s="77"/>
      <c r="C65" s="77"/>
      <c r="D65" s="77"/>
      <c r="E65" s="77"/>
      <c r="F65" s="77"/>
      <c r="G65" s="77"/>
      <c r="H65" s="77"/>
    </row>
    <row r="66" spans="1:8">
      <c r="A66" s="146"/>
      <c r="B66" s="77"/>
      <c r="C66" s="77"/>
      <c r="D66" s="77"/>
      <c r="E66" s="77"/>
      <c r="F66" s="77"/>
      <c r="G66" s="77"/>
      <c r="H66" s="77"/>
    </row>
    <row r="67" spans="1:8">
      <c r="A67" s="146"/>
      <c r="B67" s="146"/>
      <c r="C67" s="146" t="s">
        <v>127</v>
      </c>
      <c r="D67" s="146"/>
      <c r="E67" s="146"/>
      <c r="F67" s="146"/>
      <c r="G67" s="146"/>
      <c r="H67" s="146"/>
    </row>
    <row r="68" spans="1:8">
      <c r="A68" s="146"/>
      <c r="B68" s="146"/>
      <c r="C68" s="146"/>
      <c r="D68" s="146"/>
      <c r="E68" s="146"/>
      <c r="F68" s="146"/>
      <c r="G68" s="146"/>
      <c r="H68" s="146"/>
    </row>
    <row r="69" spans="1:8">
      <c r="A69" s="146"/>
      <c r="B69" s="146"/>
      <c r="C69" s="146"/>
      <c r="D69" s="146"/>
      <c r="E69" s="146"/>
      <c r="F69" s="146"/>
      <c r="G69" s="146"/>
      <c r="H69" s="146"/>
    </row>
    <row r="73" ht="3.75" customHeight="1"/>
  </sheetData>
  <mergeCells count="17">
    <mergeCell ref="A1:H1"/>
    <mergeCell ref="G2:H2"/>
    <mergeCell ref="A3:B3"/>
    <mergeCell ref="C3:D3"/>
    <mergeCell ref="G3:H3"/>
    <mergeCell ref="C4:D4"/>
    <mergeCell ref="F4:H4"/>
    <mergeCell ref="B5:C5"/>
    <mergeCell ref="A7:B7"/>
    <mergeCell ref="D7:E7"/>
    <mergeCell ref="G7:H7"/>
    <mergeCell ref="A60:B60"/>
    <mergeCell ref="C60:E60"/>
    <mergeCell ref="C61:C62"/>
    <mergeCell ref="A61:B63"/>
    <mergeCell ref="F61:H62"/>
    <mergeCell ref="A8:B59"/>
  </mergeCells>
  <pageMargins left="0.31" right="0.2" top="0.35" bottom="0.24" header="0.24" footer="0.08"/>
  <pageSetup paperSize="9" orientation="portrait" horizontalDpi="600" vertic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4"/>
  <sheetViews>
    <sheetView showZeros="0" view="pageBreakPreview" zoomScaleNormal="100" topLeftCell="A20" workbookViewId="0">
      <selection activeCell="C10" sqref="C10:C60"/>
    </sheetView>
  </sheetViews>
  <sheetFormatPr defaultColWidth="9" defaultRowHeight="15.75"/>
  <cols>
    <col min="1" max="1" width="11.5" style="2" customWidth="1"/>
    <col min="2" max="2" width="23" style="2" customWidth="1"/>
    <col min="3" max="3" width="12.25" style="2" customWidth="1"/>
    <col min="4" max="4" width="8.625" style="57" customWidth="1"/>
    <col min="5" max="5" width="4.125" style="85" customWidth="1"/>
    <col min="6" max="6" width="13.5" style="2" customWidth="1"/>
    <col min="7" max="7" width="18.125" style="2" customWidth="1"/>
    <col min="8" max="16384" width="9" style="2"/>
  </cols>
  <sheetData>
    <row r="1" ht="12.95" customHeight="1"/>
    <row r="2" ht="18.95" customHeight="1" spans="2:5">
      <c r="B2" s="86" t="s">
        <v>128</v>
      </c>
      <c r="C2" s="86"/>
      <c r="D2" s="86"/>
      <c r="E2" s="87"/>
    </row>
    <row r="3" ht="33" customHeight="1" spans="1:7">
      <c r="A3" s="88"/>
      <c r="B3" s="86"/>
      <c r="C3" s="86"/>
      <c r="D3" s="86"/>
      <c r="E3" s="87"/>
      <c r="F3" s="89" t="s">
        <v>129</v>
      </c>
      <c r="G3" s="90">
        <f ca="1">TODAY()-1</f>
        <v>46163</v>
      </c>
    </row>
    <row r="4" ht="30" customHeight="1" spans="1:7">
      <c r="A4" s="70"/>
      <c r="B4" s="91"/>
      <c r="C4" s="92"/>
      <c r="D4" s="22"/>
      <c r="E4" s="93"/>
      <c r="F4" s="94" t="s">
        <v>130</v>
      </c>
      <c r="G4" s="95" t="str">
        <f>发票!G2</f>
        <v>{number}</v>
      </c>
    </row>
    <row r="5" ht="29.25" customHeight="1" spans="1:7">
      <c r="A5" s="89" t="s">
        <v>131</v>
      </c>
      <c r="B5" s="96" t="str">
        <f>发票!C3</f>
        <v>Amazon</v>
      </c>
      <c r="C5" s="96"/>
      <c r="D5" s="96"/>
      <c r="E5" s="96"/>
      <c r="F5" s="94" t="s">
        <v>132</v>
      </c>
      <c r="G5" s="97" t="str">
        <f>发票!G2</f>
        <v>{number}</v>
      </c>
    </row>
    <row r="6" ht="11.1" customHeight="1" spans="1:9">
      <c r="A6" s="98"/>
      <c r="B6" s="99"/>
      <c r="C6" s="99" t="s">
        <v>133</v>
      </c>
      <c r="D6" s="100"/>
      <c r="E6" s="101"/>
      <c r="F6" s="102"/>
      <c r="G6" s="103"/>
      <c r="I6" s="57"/>
    </row>
    <row r="7" ht="31.5" spans="1:8">
      <c r="A7" s="104" t="s">
        <v>134</v>
      </c>
      <c r="B7" s="105"/>
      <c r="C7" s="106" t="s">
        <v>135</v>
      </c>
      <c r="D7" s="100" t="str">
        <f>报关单!M20</f>
        <v>{country}</v>
      </c>
      <c r="E7" s="81"/>
      <c r="F7" s="107" t="s">
        <v>136</v>
      </c>
      <c r="G7" s="108" t="str">
        <f>报关单!Y4</f>
        <v>电汇</v>
      </c>
      <c r="H7" s="1"/>
    </row>
    <row r="8" ht="3.95" customHeight="1" spans="1:8">
      <c r="A8" s="104"/>
      <c r="B8" s="109"/>
      <c r="C8" s="110"/>
      <c r="D8" s="100"/>
      <c r="E8" s="81"/>
      <c r="F8" s="107"/>
      <c r="G8" s="111"/>
      <c r="H8" s="1"/>
    </row>
    <row r="9" s="1" customFormat="1" ht="30" customHeight="1" spans="1:7">
      <c r="A9" s="112" t="s">
        <v>137</v>
      </c>
      <c r="B9" s="113" t="s">
        <v>138</v>
      </c>
      <c r="C9" s="114" t="s">
        <v>139</v>
      </c>
      <c r="D9" s="113" t="s">
        <v>140</v>
      </c>
      <c r="E9" s="115"/>
      <c r="F9" s="116" t="s">
        <v>141</v>
      </c>
      <c r="G9" s="113" t="s">
        <v>142</v>
      </c>
    </row>
    <row r="10" s="83" customFormat="1" ht="30" customHeight="1" spans="1:8">
      <c r="A10" s="117" t="str">
        <f>发票!A8</f>
        <v>
N/M</v>
      </c>
      <c r="B10" s="118" t="str">
        <f ca="1">发票!C8</f>
        <v>{list.materialcn}</v>
      </c>
      <c r="C10" s="119" t="str">
        <f>报关单!V18</f>
        <v>{totalbox}</v>
      </c>
      <c r="D10" s="120" t="str">
        <f ca="1">发票!D8</f>
        <v>{list.qty}</v>
      </c>
      <c r="E10" s="121" t="str">
        <f ca="1">发票!E8</f>
        <v>{list.unit}</v>
      </c>
      <c r="F10" s="52" t="str">
        <f>报关单!U18</f>
        <v>{totalboxweight}</v>
      </c>
      <c r="G10" s="119" t="str">
        <f>报关单!T20</f>
        <v>{list.weight}</v>
      </c>
      <c r="H10" s="122"/>
    </row>
    <row r="11" s="83" customFormat="1" ht="30" customHeight="1" spans="1:8">
      <c r="A11" s="117"/>
      <c r="B11" s="118">
        <f ca="1">发票!C9</f>
        <v>0</v>
      </c>
      <c r="C11" s="119"/>
      <c r="D11" s="120">
        <f ca="1">发票!D9</f>
        <v>0</v>
      </c>
      <c r="E11" s="121">
        <f ca="1">发票!E9</f>
        <v>0</v>
      </c>
      <c r="F11" s="123"/>
      <c r="G11" s="119">
        <f ca="1">OFFSET(报关单!$T$1,ROW(报关单!T2)*3+16,0)</f>
        <v>0</v>
      </c>
      <c r="H11" s="122"/>
    </row>
    <row r="12" s="83" customFormat="1" ht="30" customHeight="1" spans="1:8">
      <c r="A12" s="117"/>
      <c r="B12" s="118">
        <f ca="1">发票!C10</f>
        <v>0</v>
      </c>
      <c r="C12" s="119"/>
      <c r="D12" s="120">
        <f ca="1">发票!D10</f>
        <v>0</v>
      </c>
      <c r="E12" s="121">
        <f ca="1">发票!E10</f>
        <v>0</v>
      </c>
      <c r="F12" s="123"/>
      <c r="G12" s="119">
        <f ca="1">OFFSET(报关单!$T$1,ROW(报关单!T3)*3+16,0)</f>
        <v>0</v>
      </c>
      <c r="H12" s="122"/>
    </row>
    <row r="13" s="83" customFormat="1" ht="30" customHeight="1" spans="1:8">
      <c r="A13" s="117"/>
      <c r="B13" s="118">
        <f ca="1">发票!C11</f>
        <v>0</v>
      </c>
      <c r="C13" s="119"/>
      <c r="D13" s="120">
        <f ca="1">发票!D11</f>
        <v>0</v>
      </c>
      <c r="E13" s="121">
        <f ca="1">发票!E11</f>
        <v>0</v>
      </c>
      <c r="F13" s="123"/>
      <c r="G13" s="119">
        <f ca="1">OFFSET(报关单!$T$1,ROW(报关单!T4)*3+16,0)</f>
        <v>0</v>
      </c>
      <c r="H13" s="122"/>
    </row>
    <row r="14" s="83" customFormat="1" ht="30" customHeight="1" spans="1:8">
      <c r="A14" s="117"/>
      <c r="B14" s="118">
        <f ca="1">发票!C12</f>
        <v>0</v>
      </c>
      <c r="C14" s="119"/>
      <c r="D14" s="120">
        <f ca="1">发票!D12</f>
        <v>0</v>
      </c>
      <c r="E14" s="121">
        <f ca="1">发票!E12</f>
        <v>0</v>
      </c>
      <c r="F14" s="123"/>
      <c r="G14" s="119">
        <f ca="1">OFFSET(报关单!$T$1,ROW(报关单!T5)*3+16,0)</f>
        <v>0</v>
      </c>
      <c r="H14" s="122"/>
    </row>
    <row r="15" s="83" customFormat="1" ht="30" customHeight="1" spans="1:8">
      <c r="A15" s="117"/>
      <c r="B15" s="118">
        <f ca="1">发票!C13</f>
        <v>0</v>
      </c>
      <c r="C15" s="119"/>
      <c r="D15" s="120">
        <f ca="1">发票!D13</f>
        <v>0</v>
      </c>
      <c r="E15" s="121">
        <f ca="1">发票!E13</f>
        <v>0</v>
      </c>
      <c r="F15" s="123"/>
      <c r="G15" s="119">
        <f ca="1">OFFSET(报关单!$T$1,ROW(报关单!T6)*3+16,0)</f>
        <v>0</v>
      </c>
      <c r="H15" s="122"/>
    </row>
    <row r="16" s="83" customFormat="1" ht="30" customHeight="1" spans="1:8">
      <c r="A16" s="117"/>
      <c r="B16" s="118">
        <f ca="1">发票!C14</f>
        <v>0</v>
      </c>
      <c r="C16" s="119"/>
      <c r="D16" s="120">
        <f ca="1">发票!D14</f>
        <v>0</v>
      </c>
      <c r="E16" s="121">
        <f ca="1">发票!E14</f>
        <v>0</v>
      </c>
      <c r="F16" s="123"/>
      <c r="G16" s="119">
        <f ca="1">OFFSET(报关单!$T$1,ROW(报关单!T7)*3+16,0)</f>
        <v>0</v>
      </c>
      <c r="H16" s="122"/>
    </row>
    <row r="17" s="83" customFormat="1" ht="30" customHeight="1" spans="1:8">
      <c r="A17" s="117"/>
      <c r="B17" s="118">
        <f ca="1">发票!C15</f>
        <v>0</v>
      </c>
      <c r="C17" s="119"/>
      <c r="D17" s="120">
        <f ca="1">发票!D15</f>
        <v>0</v>
      </c>
      <c r="E17" s="121">
        <f ca="1">发票!E15</f>
        <v>0</v>
      </c>
      <c r="F17" s="123"/>
      <c r="G17" s="119">
        <f ca="1">OFFSET(报关单!$T$1,ROW(报关单!T8)*3+16,0)</f>
        <v>0</v>
      </c>
      <c r="H17" s="122"/>
    </row>
    <row r="18" s="83" customFormat="1" ht="30" customHeight="1" spans="1:8">
      <c r="A18" s="117"/>
      <c r="B18" s="118">
        <f ca="1">发票!C16</f>
        <v>0</v>
      </c>
      <c r="C18" s="119"/>
      <c r="D18" s="120">
        <f ca="1">发票!D16</f>
        <v>0</v>
      </c>
      <c r="E18" s="121">
        <f ca="1">发票!E16</f>
        <v>0</v>
      </c>
      <c r="F18" s="123"/>
      <c r="G18" s="119">
        <f ca="1">OFFSET(报关单!$T$1,ROW(报关单!T9)*3+16,0)</f>
        <v>0</v>
      </c>
      <c r="H18" s="122"/>
    </row>
    <row r="19" s="83" customFormat="1" ht="30" customHeight="1" spans="1:8">
      <c r="A19" s="117"/>
      <c r="B19" s="118">
        <f ca="1">发票!C17</f>
        <v>0</v>
      </c>
      <c r="C19" s="119"/>
      <c r="D19" s="120">
        <f ca="1">发票!D17</f>
        <v>0</v>
      </c>
      <c r="E19" s="121">
        <f ca="1">发票!E17</f>
        <v>0</v>
      </c>
      <c r="F19" s="123"/>
      <c r="G19" s="119">
        <f ca="1">OFFSET(报关单!$T$1,ROW(报关单!T10)*3+16,0)</f>
        <v>0</v>
      </c>
      <c r="H19" s="122"/>
    </row>
    <row r="20" s="83" customFormat="1" ht="30" customHeight="1" spans="1:8">
      <c r="A20" s="117"/>
      <c r="B20" s="118">
        <f ca="1">发票!C18</f>
        <v>0</v>
      </c>
      <c r="C20" s="119"/>
      <c r="D20" s="120">
        <f ca="1">发票!D18</f>
        <v>0</v>
      </c>
      <c r="E20" s="121">
        <f ca="1">发票!E18</f>
        <v>0</v>
      </c>
      <c r="F20" s="123"/>
      <c r="G20" s="119">
        <f ca="1">OFFSET(报关单!$T$1,ROW(报关单!T11)*3+16,0)</f>
        <v>0</v>
      </c>
      <c r="H20" s="122"/>
    </row>
    <row r="21" s="83" customFormat="1" ht="30" customHeight="1" spans="1:8">
      <c r="A21" s="117"/>
      <c r="B21" s="118">
        <f ca="1">发票!C19</f>
        <v>0</v>
      </c>
      <c r="C21" s="119"/>
      <c r="D21" s="120">
        <f ca="1">发票!D19</f>
        <v>0</v>
      </c>
      <c r="E21" s="121">
        <f ca="1">发票!E19</f>
        <v>0</v>
      </c>
      <c r="F21" s="123"/>
      <c r="G21" s="119">
        <f ca="1">OFFSET(报关单!$T$1,ROW(报关单!T12)*3+16,0)</f>
        <v>0</v>
      </c>
      <c r="H21" s="122"/>
    </row>
    <row r="22" s="83" customFormat="1" ht="30" customHeight="1" spans="1:8">
      <c r="A22" s="117"/>
      <c r="B22" s="118">
        <f ca="1">发票!C20</f>
        <v>0</v>
      </c>
      <c r="C22" s="119"/>
      <c r="D22" s="120">
        <f ca="1">发票!D20</f>
        <v>0</v>
      </c>
      <c r="E22" s="121">
        <f ca="1">发票!E20</f>
        <v>0</v>
      </c>
      <c r="F22" s="123"/>
      <c r="G22" s="119">
        <f ca="1">OFFSET(报关单!$T$1,ROW(报关单!T13)*3+16,0)</f>
        <v>0</v>
      </c>
      <c r="H22" s="122"/>
    </row>
    <row r="23" s="83" customFormat="1" ht="30" customHeight="1" spans="1:8">
      <c r="A23" s="117"/>
      <c r="B23" s="118">
        <f ca="1">发票!C21</f>
        <v>0</v>
      </c>
      <c r="C23" s="119"/>
      <c r="D23" s="120">
        <f ca="1">发票!D21</f>
        <v>0</v>
      </c>
      <c r="E23" s="121">
        <f ca="1">发票!E21</f>
        <v>0</v>
      </c>
      <c r="F23" s="123"/>
      <c r="G23" s="119">
        <f ca="1">OFFSET(报关单!$T$1,ROW(报关单!T14)*3+16,0)</f>
        <v>0</v>
      </c>
      <c r="H23" s="122"/>
    </row>
    <row r="24" s="83" customFormat="1" ht="30" customHeight="1" spans="1:8">
      <c r="A24" s="117"/>
      <c r="B24" s="118">
        <f ca="1">发票!C22</f>
        <v>0</v>
      </c>
      <c r="C24" s="119"/>
      <c r="D24" s="120">
        <f ca="1">发票!D22</f>
        <v>0</v>
      </c>
      <c r="E24" s="121">
        <f ca="1">发票!E22</f>
        <v>0</v>
      </c>
      <c r="F24" s="123"/>
      <c r="G24" s="119">
        <f ca="1">OFFSET(报关单!$T$1,ROW(报关单!T15)*3+16,0)</f>
        <v>0</v>
      </c>
      <c r="H24" s="122"/>
    </row>
    <row r="25" ht="30" customHeight="1" spans="1:8">
      <c r="A25" s="117"/>
      <c r="B25" s="118">
        <f ca="1">发票!C23</f>
        <v>0</v>
      </c>
      <c r="C25" s="119"/>
      <c r="D25" s="120">
        <f ca="1">发票!D23</f>
        <v>0</v>
      </c>
      <c r="E25" s="121">
        <f ca="1">发票!E23</f>
        <v>0</v>
      </c>
      <c r="F25" s="123"/>
      <c r="G25" s="119">
        <f ca="1">OFFSET(报关单!$T$1,ROW(报关单!T16)*3+16,0)</f>
        <v>0</v>
      </c>
      <c r="H25" s="1"/>
    </row>
    <row r="26" s="2" customFormat="1" ht="29.1" customHeight="1" spans="1:8">
      <c r="A26" s="117"/>
      <c r="B26" s="118">
        <f ca="1">发票!C24</f>
        <v>0</v>
      </c>
      <c r="C26" s="119"/>
      <c r="D26" s="120">
        <f ca="1">发票!D24</f>
        <v>0</v>
      </c>
      <c r="E26" s="121">
        <f ca="1">发票!E24</f>
        <v>0</v>
      </c>
      <c r="F26" s="123"/>
      <c r="G26" s="119">
        <f ca="1">OFFSET(报关单!$T$1,ROW(报关单!T17)*3+16,0)</f>
        <v>0</v>
      </c>
      <c r="H26" s="1"/>
    </row>
    <row r="27" s="2" customFormat="1" ht="29.1" customHeight="1" spans="1:8">
      <c r="A27" s="117"/>
      <c r="B27" s="118">
        <f ca="1">发票!C25</f>
        <v>0</v>
      </c>
      <c r="C27" s="119"/>
      <c r="D27" s="120">
        <f ca="1">发票!D25</f>
        <v>0</v>
      </c>
      <c r="E27" s="121">
        <f ca="1">发票!E25</f>
        <v>0</v>
      </c>
      <c r="F27" s="123"/>
      <c r="G27" s="119">
        <f ca="1">OFFSET(报关单!$T$1,ROW(报关单!T18)*3+16,0)</f>
        <v>0</v>
      </c>
      <c r="H27" s="1"/>
    </row>
    <row r="28" s="2" customFormat="1" ht="29.1" customHeight="1" spans="1:8">
      <c r="A28" s="117"/>
      <c r="B28" s="118">
        <f ca="1">发票!C26</f>
        <v>0</v>
      </c>
      <c r="C28" s="119"/>
      <c r="D28" s="120">
        <f ca="1">发票!D26</f>
        <v>0</v>
      </c>
      <c r="E28" s="121">
        <f ca="1">发票!E26</f>
        <v>0</v>
      </c>
      <c r="F28" s="123"/>
      <c r="G28" s="119">
        <f ca="1">OFFSET(报关单!$T$1,ROW(报关单!T19)*3+16,0)</f>
        <v>0</v>
      </c>
      <c r="H28" s="1"/>
    </row>
    <row r="29" s="2" customFormat="1" ht="29.1" customHeight="1" spans="1:8">
      <c r="A29" s="117"/>
      <c r="B29" s="118">
        <f ca="1">发票!C27</f>
        <v>0</v>
      </c>
      <c r="C29" s="119"/>
      <c r="D29" s="120">
        <f ca="1">发票!D27</f>
        <v>0</v>
      </c>
      <c r="E29" s="121">
        <f ca="1">发票!E27</f>
        <v>0</v>
      </c>
      <c r="F29" s="123"/>
      <c r="G29" s="119">
        <f ca="1">OFFSET(报关单!$T$1,ROW(报关单!T20)*3+16,0)</f>
        <v>0</v>
      </c>
      <c r="H29" s="1"/>
    </row>
    <row r="30" s="2" customFormat="1" ht="29.1" customHeight="1" spans="1:8">
      <c r="A30" s="117"/>
      <c r="B30" s="118">
        <f ca="1">发票!C28</f>
        <v>0</v>
      </c>
      <c r="C30" s="119"/>
      <c r="D30" s="120">
        <f ca="1">发票!D28</f>
        <v>0</v>
      </c>
      <c r="E30" s="121">
        <f ca="1">发票!E28</f>
        <v>0</v>
      </c>
      <c r="F30" s="123"/>
      <c r="G30" s="119">
        <f ca="1">OFFSET(报关单!$T$1,ROW(报关单!T21)*3+16,0)</f>
        <v>0</v>
      </c>
      <c r="H30" s="1"/>
    </row>
    <row r="31" s="2" customFormat="1" ht="29.1" customHeight="1" spans="1:8">
      <c r="A31" s="117"/>
      <c r="B31" s="118">
        <f ca="1">发票!C29</f>
        <v>0</v>
      </c>
      <c r="C31" s="119"/>
      <c r="D31" s="120">
        <f ca="1">发票!D29</f>
        <v>0</v>
      </c>
      <c r="E31" s="121">
        <f ca="1">发票!E29</f>
        <v>0</v>
      </c>
      <c r="F31" s="123"/>
      <c r="G31" s="119">
        <f ca="1">OFFSET(报关单!$T$1,ROW(报关单!T22)*3+16,0)</f>
        <v>0</v>
      </c>
      <c r="H31" s="1"/>
    </row>
    <row r="32" s="2" customFormat="1" ht="29.1" customHeight="1" spans="1:8">
      <c r="A32" s="117"/>
      <c r="B32" s="118">
        <f ca="1">发票!C30</f>
        <v>0</v>
      </c>
      <c r="C32" s="119"/>
      <c r="D32" s="120">
        <f ca="1">发票!D30</f>
        <v>0</v>
      </c>
      <c r="E32" s="121">
        <f ca="1">发票!E30</f>
        <v>0</v>
      </c>
      <c r="F32" s="123"/>
      <c r="G32" s="119">
        <f ca="1">OFFSET(报关单!$T$1,ROW(报关单!T23)*3+16,0)</f>
        <v>0</v>
      </c>
      <c r="H32" s="1"/>
    </row>
    <row r="33" s="2" customFormat="1" ht="29.1" customHeight="1" spans="1:8">
      <c r="A33" s="117"/>
      <c r="B33" s="118">
        <f ca="1">发票!C31</f>
        <v>0</v>
      </c>
      <c r="C33" s="119"/>
      <c r="D33" s="120">
        <f ca="1">发票!D31</f>
        <v>0</v>
      </c>
      <c r="E33" s="121">
        <f ca="1">发票!E31</f>
        <v>0</v>
      </c>
      <c r="F33" s="123"/>
      <c r="G33" s="119">
        <f ca="1">OFFSET(报关单!$T$1,ROW(报关单!T24)*3+16,0)</f>
        <v>0</v>
      </c>
      <c r="H33" s="1"/>
    </row>
    <row r="34" s="2" customFormat="1" ht="29.1" customHeight="1" spans="1:8">
      <c r="A34" s="117"/>
      <c r="B34" s="118">
        <f ca="1">发票!C32</f>
        <v>0</v>
      </c>
      <c r="C34" s="119"/>
      <c r="D34" s="120">
        <f ca="1">发票!D32</f>
        <v>0</v>
      </c>
      <c r="E34" s="121">
        <f ca="1">发票!E32</f>
        <v>0</v>
      </c>
      <c r="F34" s="123"/>
      <c r="G34" s="119">
        <f ca="1">OFFSET(报关单!$T$1,ROW(报关单!T25)*3+16,0)</f>
        <v>0</v>
      </c>
      <c r="H34" s="1"/>
    </row>
    <row r="35" s="2" customFormat="1" ht="29.1" customHeight="1" spans="1:8">
      <c r="A35" s="117"/>
      <c r="B35" s="118">
        <f ca="1">发票!C33</f>
        <v>0</v>
      </c>
      <c r="C35" s="119"/>
      <c r="D35" s="120">
        <f ca="1">发票!D33</f>
        <v>0</v>
      </c>
      <c r="E35" s="121">
        <f ca="1">发票!E33</f>
        <v>0</v>
      </c>
      <c r="F35" s="123"/>
      <c r="G35" s="119">
        <f ca="1">OFFSET(报关单!$T$1,ROW(报关单!T26)*3+16,0)</f>
        <v>0</v>
      </c>
      <c r="H35" s="1"/>
    </row>
    <row r="36" s="2" customFormat="1" ht="29.1" customHeight="1" spans="1:8">
      <c r="A36" s="117"/>
      <c r="B36" s="118">
        <f ca="1">发票!C34</f>
        <v>0</v>
      </c>
      <c r="C36" s="119"/>
      <c r="D36" s="120">
        <f ca="1">发票!D34</f>
        <v>0</v>
      </c>
      <c r="E36" s="121">
        <f ca="1">发票!E34</f>
        <v>0</v>
      </c>
      <c r="F36" s="123"/>
      <c r="G36" s="119">
        <f ca="1">OFFSET(报关单!$T$1,ROW(报关单!T27)*3+16,0)</f>
        <v>0</v>
      </c>
      <c r="H36" s="1"/>
    </row>
    <row r="37" s="2" customFormat="1" ht="29.1" customHeight="1" spans="1:8">
      <c r="A37" s="117"/>
      <c r="B37" s="118">
        <f ca="1">发票!C35</f>
        <v>0</v>
      </c>
      <c r="C37" s="119"/>
      <c r="D37" s="120">
        <f ca="1">发票!D35</f>
        <v>0</v>
      </c>
      <c r="E37" s="121">
        <f ca="1">发票!E35</f>
        <v>0</v>
      </c>
      <c r="F37" s="123"/>
      <c r="G37" s="119">
        <f ca="1">OFFSET(报关单!$T$1,ROW(报关单!T28)*3+16,0)</f>
        <v>0</v>
      </c>
      <c r="H37" s="1"/>
    </row>
    <row r="38" s="2" customFormat="1" ht="29.1" customHeight="1" spans="1:8">
      <c r="A38" s="117"/>
      <c r="B38" s="118">
        <f ca="1">发票!C36</f>
        <v>0</v>
      </c>
      <c r="C38" s="119"/>
      <c r="D38" s="120">
        <f ca="1">发票!D36</f>
        <v>0</v>
      </c>
      <c r="E38" s="121">
        <f ca="1">发票!E36</f>
        <v>0</v>
      </c>
      <c r="F38" s="123"/>
      <c r="G38" s="119">
        <f ca="1">OFFSET(报关单!$T$1,ROW(报关单!T29)*3+16,0)</f>
        <v>0</v>
      </c>
      <c r="H38" s="1"/>
    </row>
    <row r="39" s="2" customFormat="1" ht="29.1" customHeight="1" spans="1:8">
      <c r="A39" s="117"/>
      <c r="B39" s="118">
        <f ca="1">发票!C37</f>
        <v>0</v>
      </c>
      <c r="C39" s="119"/>
      <c r="D39" s="120">
        <f ca="1">发票!D37</f>
        <v>0</v>
      </c>
      <c r="E39" s="121">
        <f ca="1">发票!E37</f>
        <v>0</v>
      </c>
      <c r="F39" s="123"/>
      <c r="G39" s="119">
        <f ca="1">OFFSET(报关单!$T$1,ROW(报关单!T30)*3+16,0)</f>
        <v>0</v>
      </c>
      <c r="H39" s="1"/>
    </row>
    <row r="40" s="2" customFormat="1" ht="29.1" customHeight="1" spans="1:8">
      <c r="A40" s="117"/>
      <c r="B40" s="118">
        <f ca="1">发票!C38</f>
        <v>0</v>
      </c>
      <c r="C40" s="119"/>
      <c r="D40" s="120">
        <f ca="1">发票!D38</f>
        <v>0</v>
      </c>
      <c r="E40" s="121">
        <f ca="1">发票!E38</f>
        <v>0</v>
      </c>
      <c r="F40" s="123"/>
      <c r="G40" s="119">
        <f ca="1">OFFSET(报关单!$T$1,ROW(报关单!T31)*3+16,0)</f>
        <v>0</v>
      </c>
      <c r="H40" s="1"/>
    </row>
    <row r="41" s="2" customFormat="1" ht="29.1" customHeight="1" spans="1:8">
      <c r="A41" s="117"/>
      <c r="B41" s="118">
        <f ca="1">发票!C39</f>
        <v>0</v>
      </c>
      <c r="C41" s="119"/>
      <c r="D41" s="120">
        <f ca="1">发票!D39</f>
        <v>0</v>
      </c>
      <c r="E41" s="121">
        <f ca="1">发票!E39</f>
        <v>0</v>
      </c>
      <c r="F41" s="123"/>
      <c r="G41" s="119">
        <f ca="1">OFFSET(报关单!$T$1,ROW(报关单!T32)*3+16,0)</f>
        <v>0</v>
      </c>
      <c r="H41" s="1"/>
    </row>
    <row r="42" s="2" customFormat="1" ht="29.1" customHeight="1" spans="1:8">
      <c r="A42" s="117"/>
      <c r="B42" s="118">
        <f ca="1">发票!C40</f>
        <v>0</v>
      </c>
      <c r="C42" s="119"/>
      <c r="D42" s="120">
        <f ca="1">发票!D40</f>
        <v>0</v>
      </c>
      <c r="E42" s="121">
        <f ca="1">发票!E40</f>
        <v>0</v>
      </c>
      <c r="F42" s="123"/>
      <c r="G42" s="119">
        <f ca="1">OFFSET(报关单!$T$1,ROW(报关单!T33)*3+16,0)</f>
        <v>0</v>
      </c>
      <c r="H42" s="1"/>
    </row>
    <row r="43" s="2" customFormat="1" ht="29.1" customHeight="1" spans="1:8">
      <c r="A43" s="117"/>
      <c r="B43" s="118">
        <f ca="1">发票!C41</f>
        <v>0</v>
      </c>
      <c r="C43" s="119"/>
      <c r="D43" s="120">
        <f ca="1">发票!D41</f>
        <v>0</v>
      </c>
      <c r="E43" s="121">
        <f ca="1">发票!E41</f>
        <v>0</v>
      </c>
      <c r="F43" s="123"/>
      <c r="G43" s="119">
        <f ca="1">OFFSET(报关单!$T$1,ROW(报关单!T34)*3+16,0)</f>
        <v>0</v>
      </c>
      <c r="H43" s="1"/>
    </row>
    <row r="44" s="2" customFormat="1" ht="29.1" customHeight="1" spans="1:8">
      <c r="A44" s="117"/>
      <c r="B44" s="118">
        <f ca="1">发票!C42</f>
        <v>0</v>
      </c>
      <c r="C44" s="119"/>
      <c r="D44" s="120">
        <f ca="1">发票!D42</f>
        <v>0</v>
      </c>
      <c r="E44" s="121">
        <f ca="1">发票!E42</f>
        <v>0</v>
      </c>
      <c r="F44" s="123"/>
      <c r="G44" s="119">
        <f ca="1">OFFSET(报关单!$T$1,ROW(报关单!T35)*3+16,0)</f>
        <v>0</v>
      </c>
      <c r="H44" s="1"/>
    </row>
    <row r="45" s="2" customFormat="1" ht="29.1" customHeight="1" spans="1:8">
      <c r="A45" s="117"/>
      <c r="B45" s="118">
        <f ca="1">发票!C43</f>
        <v>0</v>
      </c>
      <c r="C45" s="119"/>
      <c r="D45" s="120">
        <f ca="1">发票!D43</f>
        <v>0</v>
      </c>
      <c r="E45" s="121">
        <f ca="1">发票!E43</f>
        <v>0</v>
      </c>
      <c r="F45" s="123"/>
      <c r="G45" s="119">
        <f ca="1">OFFSET(报关单!$T$1,ROW(报关单!T36)*3+16,0)</f>
        <v>0</v>
      </c>
      <c r="H45" s="1"/>
    </row>
    <row r="46" s="2" customFormat="1" ht="29.1" customHeight="1" spans="1:8">
      <c r="A46" s="117"/>
      <c r="B46" s="118">
        <f ca="1">发票!C44</f>
        <v>0</v>
      </c>
      <c r="C46" s="119"/>
      <c r="D46" s="120">
        <f ca="1">发票!D44</f>
        <v>0</v>
      </c>
      <c r="E46" s="121">
        <f ca="1">发票!E44</f>
        <v>0</v>
      </c>
      <c r="F46" s="123"/>
      <c r="G46" s="119">
        <f ca="1">OFFSET(报关单!$T$1,ROW(报关单!T37)*3+16,0)</f>
        <v>0</v>
      </c>
      <c r="H46" s="1"/>
    </row>
    <row r="47" s="2" customFormat="1" ht="29.1" customHeight="1" spans="1:8">
      <c r="A47" s="117"/>
      <c r="B47" s="118">
        <f ca="1">发票!C46</f>
        <v>0</v>
      </c>
      <c r="C47" s="119"/>
      <c r="D47" s="120">
        <f ca="1">发票!D46</f>
        <v>0</v>
      </c>
      <c r="E47" s="121">
        <f ca="1">发票!E46</f>
        <v>0</v>
      </c>
      <c r="F47" s="123"/>
      <c r="G47" s="119">
        <f>报关单!T58</f>
        <v>0</v>
      </c>
      <c r="H47" s="1"/>
    </row>
    <row r="48" s="2" customFormat="1" ht="29.1" customHeight="1" spans="1:8">
      <c r="A48" s="117"/>
      <c r="B48" s="118">
        <f ca="1">发票!C47</f>
        <v>0</v>
      </c>
      <c r="C48" s="119"/>
      <c r="D48" s="120">
        <f ca="1">发票!D47</f>
        <v>0</v>
      </c>
      <c r="E48" s="121">
        <f ca="1">发票!E47</f>
        <v>0</v>
      </c>
      <c r="F48" s="123"/>
      <c r="G48" s="119">
        <f ca="1">OFFSET(报关单!$T$1,ROW(报关单!T40)*3+16,0)</f>
        <v>0</v>
      </c>
      <c r="H48" s="1"/>
    </row>
    <row r="49" s="2" customFormat="1" ht="29.1" customHeight="1" spans="1:8">
      <c r="A49" s="117"/>
      <c r="B49" s="118">
        <f ca="1">发票!C48</f>
        <v>0</v>
      </c>
      <c r="C49" s="119"/>
      <c r="D49" s="120">
        <f ca="1">发票!D48</f>
        <v>0</v>
      </c>
      <c r="E49" s="121">
        <f ca="1">发票!E48</f>
        <v>0</v>
      </c>
      <c r="F49" s="123"/>
      <c r="G49" s="119">
        <f ca="1">OFFSET(报关单!$T$1,ROW(报关单!T41)*3+16,0)</f>
        <v>0</v>
      </c>
      <c r="H49" s="1"/>
    </row>
    <row r="50" s="2" customFormat="1" ht="29.1" customHeight="1" spans="1:8">
      <c r="A50" s="117"/>
      <c r="B50" s="118">
        <f ca="1">发票!C49</f>
        <v>0</v>
      </c>
      <c r="C50" s="119"/>
      <c r="D50" s="120">
        <f ca="1">发票!D49</f>
        <v>0</v>
      </c>
      <c r="E50" s="121">
        <f ca="1">发票!E49</f>
        <v>0</v>
      </c>
      <c r="F50" s="123"/>
      <c r="G50" s="119">
        <f ca="1">OFFSET(报关单!$T$1,ROW(报关单!T42)*3+16,0)</f>
        <v>0</v>
      </c>
      <c r="H50" s="1"/>
    </row>
    <row r="51" s="2" customFormat="1" ht="29.1" customHeight="1" spans="1:8">
      <c r="A51" s="117"/>
      <c r="B51" s="118">
        <f ca="1">发票!C50</f>
        <v>0</v>
      </c>
      <c r="C51" s="119"/>
      <c r="D51" s="120">
        <f ca="1">发票!D50</f>
        <v>0</v>
      </c>
      <c r="E51" s="121">
        <f ca="1">发票!E50</f>
        <v>0</v>
      </c>
      <c r="F51" s="123"/>
      <c r="G51" s="119">
        <f ca="1">OFFSET(报关单!$T$1,ROW(报关单!T43)*3+16,0)</f>
        <v>0</v>
      </c>
      <c r="H51" s="1"/>
    </row>
    <row r="52" s="2" customFormat="1" ht="29.1" customHeight="1" spans="1:8">
      <c r="A52" s="117"/>
      <c r="B52" s="118">
        <f ca="1">发票!C51</f>
        <v>0</v>
      </c>
      <c r="C52" s="119"/>
      <c r="D52" s="120">
        <f ca="1">发票!D51</f>
        <v>0</v>
      </c>
      <c r="E52" s="121">
        <f ca="1">发票!E51</f>
        <v>0</v>
      </c>
      <c r="F52" s="123"/>
      <c r="G52" s="119">
        <f ca="1">OFFSET(报关单!$T$1,ROW(报关单!T44)*3+16,0)</f>
        <v>0</v>
      </c>
      <c r="H52" s="1"/>
    </row>
    <row r="53" s="2" customFormat="1" ht="29.1" customHeight="1" spans="1:8">
      <c r="A53" s="117"/>
      <c r="B53" s="118">
        <f ca="1">发票!C52</f>
        <v>0</v>
      </c>
      <c r="C53" s="119"/>
      <c r="D53" s="120">
        <f ca="1">发票!D52</f>
        <v>0</v>
      </c>
      <c r="E53" s="121">
        <f ca="1">发票!E52</f>
        <v>0</v>
      </c>
      <c r="F53" s="123"/>
      <c r="G53" s="119">
        <f ca="1">OFFSET(报关单!$T$1,ROW(报关单!T45)*3+16,0)</f>
        <v>0</v>
      </c>
      <c r="H53" s="1"/>
    </row>
    <row r="54" s="2" customFormat="1" ht="29.1" customHeight="1" spans="1:8">
      <c r="A54" s="117"/>
      <c r="B54" s="118">
        <f ca="1">发票!C53</f>
        <v>0</v>
      </c>
      <c r="C54" s="119"/>
      <c r="D54" s="120">
        <f ca="1">发票!D53</f>
        <v>0</v>
      </c>
      <c r="E54" s="121">
        <f ca="1">发票!E53</f>
        <v>0</v>
      </c>
      <c r="F54" s="123"/>
      <c r="G54" s="119">
        <f ca="1">OFFSET(报关单!$T$1,ROW(报关单!T46)*3+16,0)</f>
        <v>0</v>
      </c>
      <c r="H54" s="1"/>
    </row>
    <row r="55" s="2" customFormat="1" ht="29.1" customHeight="1" spans="1:8">
      <c r="A55" s="117"/>
      <c r="B55" s="118">
        <f ca="1">发票!C54</f>
        <v>0</v>
      </c>
      <c r="C55" s="119"/>
      <c r="D55" s="120">
        <f ca="1">发票!D54</f>
        <v>0</v>
      </c>
      <c r="E55" s="121">
        <f ca="1">发票!E54</f>
        <v>0</v>
      </c>
      <c r="F55" s="123"/>
      <c r="G55" s="119">
        <f ca="1">OFFSET(报关单!$T$1,ROW(报关单!T47)*3+16,0)</f>
        <v>0</v>
      </c>
      <c r="H55" s="1"/>
    </row>
    <row r="56" s="2" customFormat="1" ht="29.1" customHeight="1" spans="1:8">
      <c r="A56" s="117"/>
      <c r="B56" s="118">
        <f ca="1">发票!C55</f>
        <v>0</v>
      </c>
      <c r="C56" s="119"/>
      <c r="D56" s="120">
        <f ca="1">发票!D55</f>
        <v>0</v>
      </c>
      <c r="E56" s="121">
        <f ca="1">发票!E55</f>
        <v>0</v>
      </c>
      <c r="F56" s="123"/>
      <c r="G56" s="119">
        <f ca="1">OFFSET(报关单!$T$1,ROW(报关单!T48)*3+16,0)</f>
        <v>0</v>
      </c>
      <c r="H56" s="1"/>
    </row>
    <row r="57" s="2" customFormat="1" ht="29.1" customHeight="1" spans="1:8">
      <c r="A57" s="117"/>
      <c r="B57" s="118">
        <f ca="1">发票!C56</f>
        <v>0</v>
      </c>
      <c r="C57" s="119"/>
      <c r="D57" s="120">
        <f ca="1">发票!D56</f>
        <v>0</v>
      </c>
      <c r="E57" s="121">
        <f ca="1">发票!E56</f>
        <v>0</v>
      </c>
      <c r="F57" s="123"/>
      <c r="G57" s="119">
        <f ca="1">OFFSET(报关单!$T$1,ROW(报关单!T49)*3+16,0)</f>
        <v>0</v>
      </c>
      <c r="H57" s="1"/>
    </row>
    <row r="58" s="2" customFormat="1" ht="29.1" customHeight="1" spans="1:8">
      <c r="A58" s="117"/>
      <c r="B58" s="118">
        <f ca="1">发票!C57</f>
        <v>0</v>
      </c>
      <c r="C58" s="119"/>
      <c r="D58" s="120">
        <f ca="1">发票!D57</f>
        <v>0</v>
      </c>
      <c r="E58" s="121">
        <f ca="1">发票!E57</f>
        <v>0</v>
      </c>
      <c r="F58" s="123"/>
      <c r="G58" s="119">
        <f ca="1">OFFSET(报关单!$T$1,ROW(报关单!T50)*3+16,0)</f>
        <v>0</v>
      </c>
      <c r="H58" s="1"/>
    </row>
    <row r="59" s="2" customFormat="1" ht="29.1" customHeight="1" spans="1:8">
      <c r="A59" s="117"/>
      <c r="B59" s="118">
        <f ca="1">发票!C58</f>
        <v>0</v>
      </c>
      <c r="C59" s="119"/>
      <c r="D59" s="120">
        <f ca="1">发票!D58</f>
        <v>0</v>
      </c>
      <c r="E59" s="121">
        <f ca="1">发票!E58</f>
        <v>0</v>
      </c>
      <c r="F59" s="123"/>
      <c r="G59" s="119">
        <f ca="1">OFFSET(报关单!$T$1,ROW(报关单!T51)*3+16,0)</f>
        <v>0</v>
      </c>
      <c r="H59" s="1"/>
    </row>
    <row r="60" s="2" customFormat="1" ht="29.1" customHeight="1" spans="1:8">
      <c r="A60" s="117"/>
      <c r="B60" s="118">
        <f ca="1">发票!C59</f>
        <v>0</v>
      </c>
      <c r="C60" s="119"/>
      <c r="D60" s="120">
        <f ca="1">发票!D59</f>
        <v>0</v>
      </c>
      <c r="E60" s="121">
        <f ca="1">发票!E59</f>
        <v>0</v>
      </c>
      <c r="F60" s="123"/>
      <c r="G60" s="119">
        <f ca="1">OFFSET(报关单!$T$1,ROW(报关单!T52)*3+16,0)</f>
        <v>0</v>
      </c>
      <c r="H60" s="1"/>
    </row>
    <row r="61" s="1" customFormat="1" ht="29.1" customHeight="1" spans="1:7">
      <c r="A61" s="124" t="s">
        <v>143</v>
      </c>
      <c r="B61" s="125">
        <f ca="1" t="shared" ref="B61:G61" si="0">SUM(B10:B60)</f>
        <v>0</v>
      </c>
      <c r="C61" s="125">
        <f t="shared" si="0"/>
        <v>0</v>
      </c>
      <c r="D61" s="125">
        <f ca="1" t="shared" si="0"/>
        <v>0</v>
      </c>
      <c r="E61" s="125">
        <f ca="1" t="shared" si="0"/>
        <v>0</v>
      </c>
      <c r="F61" s="125">
        <f t="shared" si="0"/>
        <v>0</v>
      </c>
      <c r="G61" s="125">
        <f ca="1" t="shared" si="0"/>
        <v>0</v>
      </c>
    </row>
    <row r="62" ht="18.95" customHeight="1" spans="1:8">
      <c r="A62" s="126" t="s">
        <v>126</v>
      </c>
      <c r="B62" s="81"/>
      <c r="C62" s="81"/>
      <c r="D62" s="76"/>
      <c r="E62" s="81"/>
      <c r="F62" s="81"/>
      <c r="G62" s="81"/>
      <c r="H62" s="1"/>
    </row>
    <row r="63" ht="18.95" customHeight="1" spans="1:8">
      <c r="A63" s="126"/>
      <c r="B63" s="81"/>
      <c r="C63" s="81"/>
      <c r="D63" s="76"/>
      <c r="E63" s="81"/>
      <c r="F63" s="81"/>
      <c r="G63" s="81"/>
      <c r="H63" s="1"/>
    </row>
    <row r="64" spans="1:8">
      <c r="A64" s="83"/>
      <c r="B64" s="83"/>
      <c r="C64" s="83"/>
      <c r="D64" s="76"/>
      <c r="E64" s="82"/>
      <c r="F64" s="83"/>
      <c r="G64" s="83"/>
      <c r="H64" s="1"/>
    </row>
    <row r="65" spans="1:8">
      <c r="A65" s="83"/>
      <c r="B65" s="83"/>
      <c r="C65" s="83"/>
      <c r="D65" s="8"/>
      <c r="E65" s="82"/>
      <c r="F65" s="83"/>
      <c r="G65" s="83"/>
      <c r="H65" s="1"/>
    </row>
    <row r="66" spans="1:8">
      <c r="A66" s="83"/>
      <c r="B66" s="83"/>
      <c r="C66" s="83"/>
      <c r="D66" s="8"/>
      <c r="E66" s="82"/>
      <c r="F66" s="83"/>
      <c r="G66" s="83"/>
      <c r="H66" s="1"/>
    </row>
    <row r="67" spans="1:7">
      <c r="A67" s="83"/>
      <c r="B67" s="83"/>
      <c r="C67" s="83"/>
      <c r="D67" s="8"/>
      <c r="E67" s="82"/>
      <c r="F67" s="83"/>
      <c r="G67" s="83"/>
    </row>
    <row r="68" spans="1:7">
      <c r="A68" s="83"/>
      <c r="B68" s="83"/>
      <c r="C68" s="83"/>
      <c r="D68" s="8"/>
      <c r="E68" s="82"/>
      <c r="F68" s="83"/>
      <c r="G68" s="83"/>
    </row>
    <row r="69" spans="1:7">
      <c r="A69" s="83"/>
      <c r="B69" s="83"/>
      <c r="C69" s="83"/>
      <c r="D69" s="8"/>
      <c r="E69" s="82"/>
      <c r="F69" s="83"/>
      <c r="G69" s="83"/>
    </row>
    <row r="70" spans="1:7">
      <c r="A70" s="83"/>
      <c r="B70" s="83"/>
      <c r="C70" s="83"/>
      <c r="D70" s="8"/>
      <c r="E70" s="82"/>
      <c r="F70" s="83"/>
      <c r="G70" s="83"/>
    </row>
    <row r="71" spans="1:7">
      <c r="A71" s="83"/>
      <c r="B71" s="83"/>
      <c r="C71" s="83"/>
      <c r="D71" s="8"/>
      <c r="E71" s="82"/>
      <c r="F71" s="83"/>
      <c r="G71" s="83"/>
    </row>
    <row r="72" spans="1:7">
      <c r="A72" s="83"/>
      <c r="B72" s="83"/>
      <c r="C72" s="83"/>
      <c r="D72" s="8"/>
      <c r="E72" s="82"/>
      <c r="F72" s="83"/>
      <c r="G72" s="83"/>
    </row>
    <row r="73" spans="1:7">
      <c r="A73" s="83"/>
      <c r="B73" s="83"/>
      <c r="C73" s="83"/>
      <c r="D73" s="8"/>
      <c r="E73" s="82"/>
      <c r="F73" s="83"/>
      <c r="G73" s="83"/>
    </row>
    <row r="74" spans="1:7">
      <c r="A74" s="83"/>
      <c r="B74" s="83"/>
      <c r="C74" s="83"/>
      <c r="D74" s="8"/>
      <c r="E74" s="82"/>
      <c r="F74" s="83"/>
      <c r="G74" s="83"/>
    </row>
  </sheetData>
  <mergeCells count="10">
    <mergeCell ref="B5:E5"/>
    <mergeCell ref="D6:E6"/>
    <mergeCell ref="D7:E7"/>
    <mergeCell ref="D9:E9"/>
    <mergeCell ref="A10:A60"/>
    <mergeCell ref="A62:A63"/>
    <mergeCell ref="C10:C60"/>
    <mergeCell ref="F10:F60"/>
    <mergeCell ref="B2:E3"/>
    <mergeCell ref="B62:G63"/>
  </mergeCells>
  <pageMargins left="0.2" right="0.16" top="0.24" bottom="0.2" header="0.2" footer="0.08"/>
  <pageSetup paperSize="9"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96"/>
  <sheetViews>
    <sheetView showZeros="0" view="pageBreakPreview" zoomScaleNormal="100" topLeftCell="A43" workbookViewId="0">
      <selection activeCell="H70" sqref="H70:I71"/>
    </sheetView>
  </sheetViews>
  <sheetFormatPr defaultColWidth="9" defaultRowHeight="15.75"/>
  <cols>
    <col min="1" max="1" width="3.5" customWidth="1"/>
    <col min="2" max="2" width="16.5" style="2" customWidth="1"/>
    <col min="3" max="3" width="14.25" style="2" customWidth="1"/>
    <col min="4" max="4" width="12.5" style="2" customWidth="1"/>
    <col min="5" max="5" width="14" style="2" customWidth="1"/>
    <col min="6" max="6" width="12.875" style="2" customWidth="1"/>
    <col min="7" max="7" width="5.875" style="2" customWidth="1"/>
    <col min="8" max="8" width="12.75" style="2" customWidth="1"/>
    <col min="9" max="9" width="1.5" style="2" customWidth="1"/>
    <col min="10" max="10" width="6.25" style="2" customWidth="1"/>
    <col min="11" max="16384" width="9" style="2"/>
  </cols>
  <sheetData>
    <row r="1" ht="57" customHeight="1" spans="2:9">
      <c r="B1" s="3" t="s">
        <v>144</v>
      </c>
      <c r="C1" s="4"/>
      <c r="D1" s="4"/>
      <c r="E1" s="4"/>
      <c r="F1" s="4"/>
      <c r="G1" s="4"/>
      <c r="H1" s="4"/>
      <c r="I1" s="4"/>
    </row>
    <row r="2" ht="12" customHeight="1" spans="2:9">
      <c r="B2" s="5" t="s">
        <v>145</v>
      </c>
      <c r="C2" s="6" t="str">
        <f>报关单!V5</f>
        <v>{code}</v>
      </c>
      <c r="D2" s="6"/>
      <c r="E2" s="6"/>
      <c r="F2" s="7"/>
      <c r="G2" s="5"/>
      <c r="H2" s="8"/>
      <c r="I2" s="8"/>
    </row>
    <row r="3" ht="9.95" customHeight="1" spans="2:9">
      <c r="B3" s="9" t="s">
        <v>146</v>
      </c>
      <c r="C3" s="10"/>
      <c r="D3" s="10"/>
      <c r="E3" s="10"/>
      <c r="F3" s="11"/>
      <c r="G3" s="12"/>
      <c r="H3" s="12"/>
      <c r="I3" s="12"/>
    </row>
    <row r="4" ht="11.1" customHeight="1" spans="2:9">
      <c r="B4" s="13" t="s">
        <v>147</v>
      </c>
      <c r="C4" s="14"/>
      <c r="D4" s="15"/>
      <c r="E4" s="15"/>
      <c r="F4" s="16"/>
      <c r="G4" s="17"/>
      <c r="H4" s="8"/>
      <c r="I4" s="8"/>
    </row>
    <row r="5" ht="15" customHeight="1" spans="2:9">
      <c r="B5" s="13" t="s">
        <v>148</v>
      </c>
      <c r="C5" s="18"/>
      <c r="D5" s="18"/>
      <c r="E5" s="18"/>
      <c r="F5" s="7" t="s">
        <v>149</v>
      </c>
      <c r="G5" s="5"/>
      <c r="H5" s="8"/>
      <c r="I5" s="8"/>
    </row>
    <row r="6" ht="12.95" customHeight="1" spans="2:10">
      <c r="B6" s="13" t="s">
        <v>150</v>
      </c>
      <c r="C6" s="19">
        <f>报关单!V7</f>
        <v>0</v>
      </c>
      <c r="D6" s="20" t="s">
        <v>151</v>
      </c>
      <c r="E6" s="19">
        <f>报关单!Y7</f>
        <v>0</v>
      </c>
      <c r="F6" s="11" t="s">
        <v>152</v>
      </c>
      <c r="G6" s="21" t="str">
        <f>报关单!A10</f>
        <v>{number}</v>
      </c>
      <c r="H6" s="21"/>
      <c r="I6" s="21"/>
      <c r="J6" s="57"/>
    </row>
    <row r="7" ht="12.95" customHeight="1" spans="2:9">
      <c r="B7" s="22" t="s">
        <v>153</v>
      </c>
      <c r="C7" s="23"/>
      <c r="D7" s="24" t="s">
        <v>154</v>
      </c>
      <c r="E7" s="23"/>
      <c r="F7" s="11" t="s">
        <v>155</v>
      </c>
      <c r="G7" s="13"/>
      <c r="H7" s="8"/>
      <c r="I7" s="8"/>
    </row>
    <row r="8" ht="11.1" customHeight="1" spans="2:9">
      <c r="B8" s="25" t="s">
        <v>156</v>
      </c>
      <c r="C8" s="26" t="str">
        <f>报关单!A6</f>
        <v>Amazon</v>
      </c>
      <c r="D8" s="26"/>
      <c r="E8" s="26"/>
      <c r="F8" s="11" t="s">
        <v>157</v>
      </c>
      <c r="G8" s="27">
        <f ca="1">TODAY()-25</f>
        <v>46139</v>
      </c>
      <c r="H8" s="27"/>
      <c r="I8" s="27"/>
    </row>
    <row r="9" ht="13.5" customHeight="1" spans="2:9">
      <c r="B9" s="5" t="s">
        <v>158</v>
      </c>
      <c r="C9" s="28"/>
      <c r="D9" s="28"/>
      <c r="E9" s="28"/>
      <c r="F9" s="29" t="s">
        <v>159</v>
      </c>
      <c r="G9" s="30"/>
      <c r="H9" s="13"/>
      <c r="I9" s="13"/>
    </row>
    <row r="10" ht="16.5" customHeight="1" spans="2:9">
      <c r="B10" s="5" t="s">
        <v>160</v>
      </c>
      <c r="C10" s="14">
        <f>报关单!V9</f>
        <v>0</v>
      </c>
      <c r="D10" s="26"/>
      <c r="E10" s="26"/>
      <c r="F10" s="11" t="s">
        <v>161</v>
      </c>
      <c r="G10" s="31" t="str">
        <f>报关单!V3</f>
        <v>深圳</v>
      </c>
      <c r="H10" s="12"/>
      <c r="I10" s="12"/>
    </row>
    <row r="11" ht="13.5" customHeight="1" spans="2:9">
      <c r="B11" s="5" t="s">
        <v>162</v>
      </c>
      <c r="C11" s="28"/>
      <c r="D11" s="28"/>
      <c r="E11" s="28"/>
      <c r="F11" s="32" t="s">
        <v>163</v>
      </c>
      <c r="G11" s="33">
        <f>报关单!V4</f>
        <v>0</v>
      </c>
      <c r="H11" s="34" t="str">
        <f>报关单!W4</f>
        <v>SHENZHEN</v>
      </c>
      <c r="I11" s="34"/>
    </row>
    <row r="12" ht="9.95" customHeight="1" spans="2:9">
      <c r="B12" s="5" t="s">
        <v>164</v>
      </c>
      <c r="C12" s="35">
        <f>报关单!V10</f>
        <v>0</v>
      </c>
      <c r="D12" s="36" t="s">
        <v>165</v>
      </c>
      <c r="E12" s="35">
        <f>报关单!Y10</f>
        <v>0</v>
      </c>
      <c r="F12" s="37"/>
      <c r="G12" s="33"/>
      <c r="H12" s="34"/>
      <c r="I12" s="34"/>
    </row>
    <row r="13" ht="9" customHeight="1" spans="2:9">
      <c r="B13" s="22" t="s">
        <v>166</v>
      </c>
      <c r="C13" s="38"/>
      <c r="D13" s="22" t="s">
        <v>154</v>
      </c>
      <c r="E13" s="38"/>
      <c r="F13" s="39"/>
      <c r="G13" s="39"/>
      <c r="H13" s="8"/>
      <c r="I13" s="8"/>
    </row>
    <row r="14" ht="13.5" customHeight="1" spans="2:9">
      <c r="B14" s="40" t="s">
        <v>167</v>
      </c>
      <c r="C14" s="41"/>
      <c r="D14" s="39"/>
      <c r="E14" s="39"/>
      <c r="F14" s="39"/>
      <c r="G14" s="39"/>
      <c r="H14" s="8"/>
      <c r="I14" s="8"/>
    </row>
    <row r="15" ht="13.5" customHeight="1" spans="2:9">
      <c r="B15" s="42" t="s">
        <v>168</v>
      </c>
      <c r="C15" s="42"/>
      <c r="D15" s="42"/>
      <c r="E15" s="42"/>
      <c r="F15" s="42"/>
      <c r="G15" s="42"/>
      <c r="H15" s="42"/>
      <c r="I15" s="42"/>
    </row>
    <row r="16" s="1" customFormat="1" customHeight="1" spans="2:9">
      <c r="B16" s="43" t="s">
        <v>169</v>
      </c>
      <c r="C16" s="44"/>
      <c r="D16" s="45" t="s">
        <v>170</v>
      </c>
      <c r="E16" s="45" t="s">
        <v>171</v>
      </c>
      <c r="F16" s="45" t="s">
        <v>172</v>
      </c>
      <c r="G16" s="43" t="s">
        <v>173</v>
      </c>
      <c r="H16" s="46"/>
      <c r="I16" s="44"/>
    </row>
    <row r="17" s="1" customFormat="1" ht="10.5" customHeight="1" spans="2:9">
      <c r="B17" s="47" t="s">
        <v>174</v>
      </c>
      <c r="C17" s="48"/>
      <c r="D17" s="49" t="s">
        <v>175</v>
      </c>
      <c r="E17" s="49" t="s">
        <v>176</v>
      </c>
      <c r="F17" s="49" t="s">
        <v>177</v>
      </c>
      <c r="G17" s="47" t="s">
        <v>178</v>
      </c>
      <c r="H17" s="38"/>
      <c r="I17" s="48"/>
    </row>
    <row r="18" s="1" customFormat="1" ht="12" customHeight="1" spans="2:9">
      <c r="B18" s="50" t="str">
        <f ca="1">发票!C8</f>
        <v>{list.materialcn}</v>
      </c>
      <c r="C18" s="51"/>
      <c r="D18" s="52" t="str">
        <f ca="1">发票!D8</f>
        <v>{list.qty}</v>
      </c>
      <c r="E18" s="53" t="str">
        <f ca="1">发票!E8</f>
        <v>{list.unit}</v>
      </c>
      <c r="F18" s="54">
        <f ca="1">发票!F8</f>
        <v>0</v>
      </c>
      <c r="G18" s="55" t="str">
        <f ca="1">发票!G8</f>
        <v>{list.currency}</v>
      </c>
      <c r="H18" s="56" t="str">
        <f ca="1">发票!H8</f>
        <v>{list.price}</v>
      </c>
      <c r="I18" s="58"/>
    </row>
    <row r="19" s="1" customFormat="1" ht="12" customHeight="1" spans="2:9">
      <c r="B19" s="50">
        <f ca="1">发票!C9</f>
        <v>0</v>
      </c>
      <c r="C19" s="51"/>
      <c r="D19" s="52">
        <f ca="1">发票!D9</f>
        <v>0</v>
      </c>
      <c r="E19" s="53">
        <f ca="1">发票!E9</f>
        <v>0</v>
      </c>
      <c r="F19" s="54">
        <f ca="1">发票!F9</f>
        <v>0</v>
      </c>
      <c r="G19" s="55">
        <f ca="1">发票!G9</f>
        <v>0</v>
      </c>
      <c r="H19" s="56">
        <f ca="1">发票!H9</f>
        <v>0</v>
      </c>
      <c r="I19" s="58"/>
    </row>
    <row r="20" s="1" customFormat="1" ht="12" customHeight="1" spans="2:9">
      <c r="B20" s="50">
        <f ca="1">发票!C10</f>
        <v>0</v>
      </c>
      <c r="C20" s="51"/>
      <c r="D20" s="52">
        <f ca="1">发票!D10</f>
        <v>0</v>
      </c>
      <c r="E20" s="53">
        <f ca="1">发票!E10</f>
        <v>0</v>
      </c>
      <c r="F20" s="54">
        <f ca="1">发票!F10</f>
        <v>0</v>
      </c>
      <c r="G20" s="55">
        <f ca="1">发票!G10</f>
        <v>0</v>
      </c>
      <c r="H20" s="56">
        <f ca="1">发票!H10</f>
        <v>0</v>
      </c>
      <c r="I20" s="58"/>
    </row>
    <row r="21" s="1" customFormat="1" ht="12" customHeight="1" spans="2:9">
      <c r="B21" s="50">
        <f ca="1">发票!C11</f>
        <v>0</v>
      </c>
      <c r="C21" s="51"/>
      <c r="D21" s="52">
        <f ca="1">发票!D11</f>
        <v>0</v>
      </c>
      <c r="E21" s="53">
        <f ca="1">发票!E11</f>
        <v>0</v>
      </c>
      <c r="F21" s="54">
        <f ca="1">发票!F11</f>
        <v>0</v>
      </c>
      <c r="G21" s="55">
        <f ca="1">发票!G11</f>
        <v>0</v>
      </c>
      <c r="H21" s="56">
        <f ca="1">发票!H11</f>
        <v>0</v>
      </c>
      <c r="I21" s="58"/>
    </row>
    <row r="22" s="1" customFormat="1" ht="12" customHeight="1" spans="2:9">
      <c r="B22" s="50">
        <f ca="1">发票!C12</f>
        <v>0</v>
      </c>
      <c r="C22" s="51"/>
      <c r="D22" s="52">
        <f ca="1">发票!D12</f>
        <v>0</v>
      </c>
      <c r="E22" s="53">
        <f ca="1">发票!E12</f>
        <v>0</v>
      </c>
      <c r="F22" s="54">
        <f ca="1">发票!F12</f>
        <v>0</v>
      </c>
      <c r="G22" s="55">
        <f ca="1">发票!G12</f>
        <v>0</v>
      </c>
      <c r="H22" s="56">
        <f ca="1">发票!H12</f>
        <v>0</v>
      </c>
      <c r="I22" s="58"/>
    </row>
    <row r="23" s="1" customFormat="1" ht="12" customHeight="1" spans="2:9">
      <c r="B23" s="50">
        <f ca="1">发票!C13</f>
        <v>0</v>
      </c>
      <c r="C23" s="51"/>
      <c r="D23" s="52">
        <f ca="1">发票!D13</f>
        <v>0</v>
      </c>
      <c r="E23" s="53">
        <f ca="1">发票!E13</f>
        <v>0</v>
      </c>
      <c r="F23" s="54">
        <f ca="1">发票!F13</f>
        <v>0</v>
      </c>
      <c r="G23" s="55">
        <f ca="1">发票!G13</f>
        <v>0</v>
      </c>
      <c r="H23" s="56">
        <f ca="1">发票!H13</f>
        <v>0</v>
      </c>
      <c r="I23" s="58"/>
    </row>
    <row r="24" s="1" customFormat="1" ht="12" customHeight="1" spans="2:9">
      <c r="B24" s="50">
        <f ca="1">发票!C14</f>
        <v>0</v>
      </c>
      <c r="C24" s="51"/>
      <c r="D24" s="52">
        <f ca="1">发票!D14</f>
        <v>0</v>
      </c>
      <c r="E24" s="53">
        <f ca="1">发票!E14</f>
        <v>0</v>
      </c>
      <c r="F24" s="54">
        <f ca="1">发票!F14</f>
        <v>0</v>
      </c>
      <c r="G24" s="55">
        <f ca="1">发票!G14</f>
        <v>0</v>
      </c>
      <c r="H24" s="56">
        <f ca="1">发票!H14</f>
        <v>0</v>
      </c>
      <c r="I24" s="58"/>
    </row>
    <row r="25" s="1" customFormat="1" ht="12" customHeight="1" spans="2:9">
      <c r="B25" s="50">
        <f ca="1">发票!C15</f>
        <v>0</v>
      </c>
      <c r="C25" s="51"/>
      <c r="D25" s="52">
        <f ca="1">发票!D15</f>
        <v>0</v>
      </c>
      <c r="E25" s="53">
        <f ca="1">发票!E15</f>
        <v>0</v>
      </c>
      <c r="F25" s="54">
        <f ca="1">发票!F15</f>
        <v>0</v>
      </c>
      <c r="G25" s="55">
        <f ca="1">发票!G15</f>
        <v>0</v>
      </c>
      <c r="H25" s="56">
        <f ca="1">发票!H15</f>
        <v>0</v>
      </c>
      <c r="I25" s="58"/>
    </row>
    <row r="26" s="1" customFormat="1" ht="12" customHeight="1" spans="2:9">
      <c r="B26" s="50">
        <f ca="1">发票!C16</f>
        <v>0</v>
      </c>
      <c r="C26" s="51"/>
      <c r="D26" s="52">
        <f ca="1">发票!D16</f>
        <v>0</v>
      </c>
      <c r="E26" s="53">
        <f ca="1">发票!E16</f>
        <v>0</v>
      </c>
      <c r="F26" s="54">
        <f ca="1">发票!F16</f>
        <v>0</v>
      </c>
      <c r="G26" s="55">
        <f ca="1">发票!G16</f>
        <v>0</v>
      </c>
      <c r="H26" s="56">
        <f ca="1">发票!H16</f>
        <v>0</v>
      </c>
      <c r="I26" s="58"/>
    </row>
    <row r="27" s="1" customFormat="1" ht="12" customHeight="1" spans="2:9">
      <c r="B27" s="50">
        <f ca="1">发票!C17</f>
        <v>0</v>
      </c>
      <c r="C27" s="51"/>
      <c r="D27" s="52">
        <f ca="1">发票!D17</f>
        <v>0</v>
      </c>
      <c r="E27" s="53">
        <f ca="1">发票!E17</f>
        <v>0</v>
      </c>
      <c r="F27" s="54">
        <f ca="1">发票!F17</f>
        <v>0</v>
      </c>
      <c r="G27" s="55">
        <f ca="1">发票!G17</f>
        <v>0</v>
      </c>
      <c r="H27" s="56">
        <f ca="1">发票!H17</f>
        <v>0</v>
      </c>
      <c r="I27" s="58"/>
    </row>
    <row r="28" s="1" customFormat="1" ht="12" customHeight="1" spans="2:9">
      <c r="B28" s="50">
        <f ca="1">发票!C18</f>
        <v>0</v>
      </c>
      <c r="C28" s="51"/>
      <c r="D28" s="52">
        <f ca="1">发票!D18</f>
        <v>0</v>
      </c>
      <c r="E28" s="53">
        <f ca="1">发票!E18</f>
        <v>0</v>
      </c>
      <c r="F28" s="54">
        <f ca="1">发票!F18</f>
        <v>0</v>
      </c>
      <c r="G28" s="55">
        <f ca="1">发票!G18</f>
        <v>0</v>
      </c>
      <c r="H28" s="56">
        <f ca="1">发票!H18</f>
        <v>0</v>
      </c>
      <c r="I28" s="58"/>
    </row>
    <row r="29" s="1" customFormat="1" ht="12" customHeight="1" spans="2:9">
      <c r="B29" s="50">
        <f ca="1">发票!C19</f>
        <v>0</v>
      </c>
      <c r="C29" s="51"/>
      <c r="D29" s="52">
        <f ca="1">发票!D19</f>
        <v>0</v>
      </c>
      <c r="E29" s="53">
        <f ca="1">发票!E19</f>
        <v>0</v>
      </c>
      <c r="F29" s="54">
        <f ca="1">发票!F19</f>
        <v>0</v>
      </c>
      <c r="G29" s="55">
        <f ca="1">发票!G19</f>
        <v>0</v>
      </c>
      <c r="H29" s="56">
        <f ca="1">发票!H19</f>
        <v>0</v>
      </c>
      <c r="I29" s="58"/>
    </row>
    <row r="30" s="1" customFormat="1" ht="12" customHeight="1" spans="2:9">
      <c r="B30" s="50">
        <f ca="1">发票!C20</f>
        <v>0</v>
      </c>
      <c r="C30" s="51"/>
      <c r="D30" s="52">
        <f ca="1">发票!D20</f>
        <v>0</v>
      </c>
      <c r="E30" s="53">
        <f ca="1">发票!E20</f>
        <v>0</v>
      </c>
      <c r="F30" s="54">
        <f ca="1">发票!F20</f>
        <v>0</v>
      </c>
      <c r="G30" s="55">
        <f ca="1">发票!G20</f>
        <v>0</v>
      </c>
      <c r="H30" s="56">
        <f ca="1">发票!H20</f>
        <v>0</v>
      </c>
      <c r="I30" s="58"/>
    </row>
    <row r="31" s="1" customFormat="1" ht="12" customHeight="1" spans="2:9">
      <c r="B31" s="50">
        <f ca="1">发票!C21</f>
        <v>0</v>
      </c>
      <c r="C31" s="51"/>
      <c r="D31" s="52">
        <f ca="1">发票!D21</f>
        <v>0</v>
      </c>
      <c r="E31" s="53">
        <f ca="1">发票!E21</f>
        <v>0</v>
      </c>
      <c r="F31" s="54">
        <f ca="1">发票!F21</f>
        <v>0</v>
      </c>
      <c r="G31" s="55">
        <f ca="1">发票!G21</f>
        <v>0</v>
      </c>
      <c r="H31" s="56">
        <f ca="1">发票!H21</f>
        <v>0</v>
      </c>
      <c r="I31" s="58"/>
    </row>
    <row r="32" s="1" customFormat="1" ht="12" customHeight="1" spans="2:9">
      <c r="B32" s="50">
        <f ca="1">发票!C22</f>
        <v>0</v>
      </c>
      <c r="C32" s="51"/>
      <c r="D32" s="52">
        <f ca="1">发票!D22</f>
        <v>0</v>
      </c>
      <c r="E32" s="53">
        <f ca="1">发票!E22</f>
        <v>0</v>
      </c>
      <c r="F32" s="54">
        <f ca="1">发票!F22</f>
        <v>0</v>
      </c>
      <c r="G32" s="55">
        <f ca="1">发票!G22</f>
        <v>0</v>
      </c>
      <c r="H32" s="56">
        <f ca="1">发票!H22</f>
        <v>0</v>
      </c>
      <c r="I32" s="58"/>
    </row>
    <row r="33" s="1" customFormat="1" ht="12" customHeight="1" spans="2:9">
      <c r="B33" s="50">
        <f ca="1">发票!C23</f>
        <v>0</v>
      </c>
      <c r="C33" s="51"/>
      <c r="D33" s="52">
        <f ca="1">发票!D23</f>
        <v>0</v>
      </c>
      <c r="E33" s="53">
        <f ca="1">发票!E23</f>
        <v>0</v>
      </c>
      <c r="F33" s="54">
        <f ca="1">发票!F23</f>
        <v>0</v>
      </c>
      <c r="G33" s="55">
        <f ca="1">发票!G23</f>
        <v>0</v>
      </c>
      <c r="H33" s="56">
        <f ca="1">发票!H23</f>
        <v>0</v>
      </c>
      <c r="I33" s="58"/>
    </row>
    <row r="34" s="1" customFormat="1" ht="12" customHeight="1" spans="2:9">
      <c r="B34" s="50">
        <f ca="1">发票!C24</f>
        <v>0</v>
      </c>
      <c r="C34" s="51"/>
      <c r="D34" s="52">
        <f ca="1">发票!D24</f>
        <v>0</v>
      </c>
      <c r="E34" s="53">
        <f ca="1">发票!E24</f>
        <v>0</v>
      </c>
      <c r="F34" s="54">
        <f ca="1">发票!F24</f>
        <v>0</v>
      </c>
      <c r="G34" s="55">
        <f ca="1">发票!G24</f>
        <v>0</v>
      </c>
      <c r="H34" s="56">
        <f ca="1">发票!H24</f>
        <v>0</v>
      </c>
      <c r="I34" s="58"/>
    </row>
    <row r="35" s="1" customFormat="1" ht="12" customHeight="1" spans="2:9">
      <c r="B35" s="50">
        <f ca="1">发票!C25</f>
        <v>0</v>
      </c>
      <c r="C35" s="51"/>
      <c r="D35" s="52">
        <f ca="1">发票!D25</f>
        <v>0</v>
      </c>
      <c r="E35" s="53">
        <f ca="1">发票!E25</f>
        <v>0</v>
      </c>
      <c r="F35" s="54">
        <f ca="1">发票!F25</f>
        <v>0</v>
      </c>
      <c r="G35" s="55">
        <f ca="1">发票!G25</f>
        <v>0</v>
      </c>
      <c r="H35" s="56">
        <f ca="1">发票!H25</f>
        <v>0</v>
      </c>
      <c r="I35" s="58"/>
    </row>
    <row r="36" s="1" customFormat="1" ht="12" customHeight="1" spans="2:9">
      <c r="B36" s="50">
        <f ca="1">发票!C26</f>
        <v>0</v>
      </c>
      <c r="C36" s="51"/>
      <c r="D36" s="52">
        <f ca="1">发票!D26</f>
        <v>0</v>
      </c>
      <c r="E36" s="53">
        <f ca="1">发票!E26</f>
        <v>0</v>
      </c>
      <c r="F36" s="54">
        <f ca="1">发票!F26</f>
        <v>0</v>
      </c>
      <c r="G36" s="55">
        <f ca="1">发票!G26</f>
        <v>0</v>
      </c>
      <c r="H36" s="56">
        <f ca="1">发票!H26</f>
        <v>0</v>
      </c>
      <c r="I36" s="58"/>
    </row>
    <row r="37" s="1" customFormat="1" ht="12" customHeight="1" spans="2:9">
      <c r="B37" s="50">
        <f ca="1">发票!C27</f>
        <v>0</v>
      </c>
      <c r="C37" s="51"/>
      <c r="D37" s="52">
        <f ca="1">发票!D27</f>
        <v>0</v>
      </c>
      <c r="E37" s="53">
        <f ca="1">发票!E27</f>
        <v>0</v>
      </c>
      <c r="F37" s="54">
        <f ca="1">发票!F27</f>
        <v>0</v>
      </c>
      <c r="G37" s="55">
        <f ca="1">发票!G27</f>
        <v>0</v>
      </c>
      <c r="H37" s="56">
        <f ca="1">发票!H27</f>
        <v>0</v>
      </c>
      <c r="I37" s="58"/>
    </row>
    <row r="38" s="1" customFormat="1" ht="12" customHeight="1" spans="2:9">
      <c r="B38" s="50">
        <f ca="1">发票!C28</f>
        <v>0</v>
      </c>
      <c r="C38" s="51"/>
      <c r="D38" s="52">
        <f ca="1">发票!D28</f>
        <v>0</v>
      </c>
      <c r="E38" s="53">
        <f ca="1">发票!E28</f>
        <v>0</v>
      </c>
      <c r="F38" s="54">
        <f ca="1">发票!F28</f>
        <v>0</v>
      </c>
      <c r="G38" s="55">
        <f ca="1">发票!G28</f>
        <v>0</v>
      </c>
      <c r="H38" s="56">
        <f ca="1">发票!H28</f>
        <v>0</v>
      </c>
      <c r="I38" s="58"/>
    </row>
    <row r="39" s="1" customFormat="1" ht="12" customHeight="1" spans="2:9">
      <c r="B39" s="50">
        <f ca="1">发票!C29</f>
        <v>0</v>
      </c>
      <c r="C39" s="51"/>
      <c r="D39" s="52">
        <f ca="1">发票!D29</f>
        <v>0</v>
      </c>
      <c r="E39" s="53">
        <f ca="1">发票!E29</f>
        <v>0</v>
      </c>
      <c r="F39" s="54">
        <f ca="1">发票!F29</f>
        <v>0</v>
      </c>
      <c r="G39" s="55">
        <f ca="1">发票!G29</f>
        <v>0</v>
      </c>
      <c r="H39" s="56">
        <f ca="1">发票!H29</f>
        <v>0</v>
      </c>
      <c r="I39" s="58"/>
    </row>
    <row r="40" s="1" customFormat="1" ht="12" customHeight="1" spans="2:9">
      <c r="B40" s="50">
        <f ca="1">发票!C30</f>
        <v>0</v>
      </c>
      <c r="C40" s="51"/>
      <c r="D40" s="52">
        <f ca="1">发票!D30</f>
        <v>0</v>
      </c>
      <c r="E40" s="53">
        <f ca="1">发票!E30</f>
        <v>0</v>
      </c>
      <c r="F40" s="54">
        <f ca="1">发票!F30</f>
        <v>0</v>
      </c>
      <c r="G40" s="55">
        <f ca="1">发票!G30</f>
        <v>0</v>
      </c>
      <c r="H40" s="56">
        <f ca="1">发票!H30</f>
        <v>0</v>
      </c>
      <c r="I40" s="58"/>
    </row>
    <row r="41" s="1" customFormat="1" ht="12" customHeight="1" spans="2:9">
      <c r="B41" s="50">
        <f ca="1">发票!C31</f>
        <v>0</v>
      </c>
      <c r="C41" s="51"/>
      <c r="D41" s="52">
        <f ca="1">发票!D31</f>
        <v>0</v>
      </c>
      <c r="E41" s="53">
        <f ca="1">发票!E31</f>
        <v>0</v>
      </c>
      <c r="F41" s="54">
        <f ca="1">发票!F31</f>
        <v>0</v>
      </c>
      <c r="G41" s="55">
        <f ca="1">发票!G31</f>
        <v>0</v>
      </c>
      <c r="H41" s="56">
        <f ca="1">发票!H31</f>
        <v>0</v>
      </c>
      <c r="I41" s="58"/>
    </row>
    <row r="42" s="1" customFormat="1" ht="12" customHeight="1" spans="2:9">
      <c r="B42" s="50">
        <f ca="1">发票!C32</f>
        <v>0</v>
      </c>
      <c r="C42" s="51"/>
      <c r="D42" s="52">
        <f ca="1">发票!D32</f>
        <v>0</v>
      </c>
      <c r="E42" s="53">
        <f ca="1">发票!E32</f>
        <v>0</v>
      </c>
      <c r="F42" s="54">
        <f ca="1">发票!F32</f>
        <v>0</v>
      </c>
      <c r="G42" s="55">
        <f ca="1">发票!G32</f>
        <v>0</v>
      </c>
      <c r="H42" s="56">
        <f ca="1">发票!H32</f>
        <v>0</v>
      </c>
      <c r="I42" s="58"/>
    </row>
    <row r="43" s="1" customFormat="1" ht="12" customHeight="1" spans="2:9">
      <c r="B43" s="50">
        <f ca="1">发票!C33</f>
        <v>0</v>
      </c>
      <c r="C43" s="51"/>
      <c r="D43" s="52">
        <f ca="1">发票!D33</f>
        <v>0</v>
      </c>
      <c r="E43" s="53">
        <f ca="1">发票!E33</f>
        <v>0</v>
      </c>
      <c r="F43" s="54">
        <f ca="1">发票!F33</f>
        <v>0</v>
      </c>
      <c r="G43" s="55">
        <f ca="1">发票!G33</f>
        <v>0</v>
      </c>
      <c r="H43" s="56">
        <f ca="1">发票!H33</f>
        <v>0</v>
      </c>
      <c r="I43" s="58"/>
    </row>
    <row r="44" s="1" customFormat="1" ht="12" customHeight="1" spans="2:9">
      <c r="B44" s="50">
        <f ca="1">发票!C34</f>
        <v>0</v>
      </c>
      <c r="C44" s="51"/>
      <c r="D44" s="52">
        <f ca="1">发票!D34</f>
        <v>0</v>
      </c>
      <c r="E44" s="53">
        <f ca="1">发票!E34</f>
        <v>0</v>
      </c>
      <c r="F44" s="54">
        <f ca="1">发票!F34</f>
        <v>0</v>
      </c>
      <c r="G44" s="55">
        <f ca="1">发票!G34</f>
        <v>0</v>
      </c>
      <c r="H44" s="56">
        <f ca="1">发票!H34</f>
        <v>0</v>
      </c>
      <c r="I44" s="58"/>
    </row>
    <row r="45" s="1" customFormat="1" ht="12" customHeight="1" spans="2:9">
      <c r="B45" s="50">
        <f ca="1">发票!C35</f>
        <v>0</v>
      </c>
      <c r="C45" s="51"/>
      <c r="D45" s="52">
        <f ca="1">发票!D35</f>
        <v>0</v>
      </c>
      <c r="E45" s="53">
        <f ca="1">发票!E35</f>
        <v>0</v>
      </c>
      <c r="F45" s="54">
        <f ca="1">发票!F35</f>
        <v>0</v>
      </c>
      <c r="G45" s="55">
        <f ca="1">发票!G35</f>
        <v>0</v>
      </c>
      <c r="H45" s="56">
        <f ca="1">发票!H35</f>
        <v>0</v>
      </c>
      <c r="I45" s="58"/>
    </row>
    <row r="46" s="1" customFormat="1" ht="12" customHeight="1" spans="2:9">
      <c r="B46" s="50">
        <f ca="1">发票!C36</f>
        <v>0</v>
      </c>
      <c r="C46" s="51"/>
      <c r="D46" s="52">
        <f ca="1">发票!D36</f>
        <v>0</v>
      </c>
      <c r="E46" s="53">
        <f ca="1">发票!E36</f>
        <v>0</v>
      </c>
      <c r="F46" s="54">
        <f ca="1">发票!F36</f>
        <v>0</v>
      </c>
      <c r="G46" s="55">
        <f ca="1">发票!G36</f>
        <v>0</v>
      </c>
      <c r="H46" s="56">
        <f ca="1">发票!H36</f>
        <v>0</v>
      </c>
      <c r="I46" s="58"/>
    </row>
    <row r="47" s="1" customFormat="1" ht="12" customHeight="1" spans="2:9">
      <c r="B47" s="50">
        <f ca="1">发票!C37</f>
        <v>0</v>
      </c>
      <c r="C47" s="51"/>
      <c r="D47" s="52">
        <f ca="1">发票!D37</f>
        <v>0</v>
      </c>
      <c r="E47" s="53">
        <f ca="1">发票!E37</f>
        <v>0</v>
      </c>
      <c r="F47" s="54">
        <f ca="1">发票!F37</f>
        <v>0</v>
      </c>
      <c r="G47" s="55">
        <f ca="1">发票!G37</f>
        <v>0</v>
      </c>
      <c r="H47" s="56">
        <f ca="1">发票!H37</f>
        <v>0</v>
      </c>
      <c r="I47" s="58"/>
    </row>
    <row r="48" s="1" customFormat="1" ht="12" customHeight="1" spans="2:9">
      <c r="B48" s="50">
        <f ca="1">发票!C38</f>
        <v>0</v>
      </c>
      <c r="C48" s="51"/>
      <c r="D48" s="52">
        <f ca="1">发票!D38</f>
        <v>0</v>
      </c>
      <c r="E48" s="53">
        <f ca="1">发票!E38</f>
        <v>0</v>
      </c>
      <c r="F48" s="54">
        <f ca="1">发票!F38</f>
        <v>0</v>
      </c>
      <c r="G48" s="55">
        <f ca="1">发票!G38</f>
        <v>0</v>
      </c>
      <c r="H48" s="56">
        <f ca="1">发票!H38</f>
        <v>0</v>
      </c>
      <c r="I48" s="58"/>
    </row>
    <row r="49" s="1" customFormat="1" ht="12" customHeight="1" spans="2:9">
      <c r="B49" s="50">
        <f ca="1">发票!C39</f>
        <v>0</v>
      </c>
      <c r="C49" s="51"/>
      <c r="D49" s="52">
        <f ca="1">发票!D39</f>
        <v>0</v>
      </c>
      <c r="E49" s="53">
        <f ca="1">发票!E39</f>
        <v>0</v>
      </c>
      <c r="F49" s="54">
        <f ca="1">发票!F39</f>
        <v>0</v>
      </c>
      <c r="G49" s="55">
        <f ca="1">发票!G39</f>
        <v>0</v>
      </c>
      <c r="H49" s="56">
        <f ca="1">发票!H39</f>
        <v>0</v>
      </c>
      <c r="I49" s="58"/>
    </row>
    <row r="50" s="1" customFormat="1" ht="12" customHeight="1" spans="2:9">
      <c r="B50" s="50">
        <f ca="1">发票!C40</f>
        <v>0</v>
      </c>
      <c r="C50" s="51"/>
      <c r="D50" s="52">
        <f ca="1">发票!D40</f>
        <v>0</v>
      </c>
      <c r="E50" s="53">
        <f ca="1">发票!E40</f>
        <v>0</v>
      </c>
      <c r="F50" s="54">
        <f ca="1">发票!F40</f>
        <v>0</v>
      </c>
      <c r="G50" s="55">
        <f ca="1">发票!G40</f>
        <v>0</v>
      </c>
      <c r="H50" s="56">
        <f ca="1">发票!H40</f>
        <v>0</v>
      </c>
      <c r="I50" s="58"/>
    </row>
    <row r="51" s="1" customFormat="1" ht="12" customHeight="1" spans="2:9">
      <c r="B51" s="50">
        <f ca="1">发票!C41</f>
        <v>0</v>
      </c>
      <c r="C51" s="51"/>
      <c r="D51" s="52">
        <f ca="1">发票!D41</f>
        <v>0</v>
      </c>
      <c r="E51" s="53">
        <f ca="1">发票!E41</f>
        <v>0</v>
      </c>
      <c r="F51" s="54">
        <f ca="1">发票!F41</f>
        <v>0</v>
      </c>
      <c r="G51" s="55">
        <f ca="1">发票!G41</f>
        <v>0</v>
      </c>
      <c r="H51" s="56">
        <f ca="1">发票!H41</f>
        <v>0</v>
      </c>
      <c r="I51" s="58"/>
    </row>
    <row r="52" s="1" customFormat="1" ht="12" customHeight="1" spans="2:9">
      <c r="B52" s="50">
        <f ca="1">发票!C42</f>
        <v>0</v>
      </c>
      <c r="C52" s="51"/>
      <c r="D52" s="52">
        <f ca="1">发票!D42</f>
        <v>0</v>
      </c>
      <c r="E52" s="53">
        <f ca="1">发票!E42</f>
        <v>0</v>
      </c>
      <c r="F52" s="54">
        <f ca="1">发票!F42</f>
        <v>0</v>
      </c>
      <c r="G52" s="55">
        <f ca="1">发票!G42</f>
        <v>0</v>
      </c>
      <c r="H52" s="56">
        <f ca="1">发票!H42</f>
        <v>0</v>
      </c>
      <c r="I52" s="58"/>
    </row>
    <row r="53" s="1" customFormat="1" ht="12" customHeight="1" spans="2:9">
      <c r="B53" s="50">
        <f ca="1">发票!C43</f>
        <v>0</v>
      </c>
      <c r="C53" s="51"/>
      <c r="D53" s="52">
        <f ca="1">发票!D43</f>
        <v>0</v>
      </c>
      <c r="E53" s="53">
        <f ca="1">发票!E43</f>
        <v>0</v>
      </c>
      <c r="F53" s="54">
        <f ca="1">发票!F43</f>
        <v>0</v>
      </c>
      <c r="G53" s="55">
        <f ca="1">发票!G43</f>
        <v>0</v>
      </c>
      <c r="H53" s="56">
        <f ca="1">发票!H43</f>
        <v>0</v>
      </c>
      <c r="I53" s="58"/>
    </row>
    <row r="54" s="1" customFormat="1" ht="12" customHeight="1" spans="2:9">
      <c r="B54" s="50">
        <f ca="1">发票!C44</f>
        <v>0</v>
      </c>
      <c r="C54" s="51"/>
      <c r="D54" s="52">
        <f ca="1">发票!D44</f>
        <v>0</v>
      </c>
      <c r="E54" s="53">
        <f ca="1">发票!E44</f>
        <v>0</v>
      </c>
      <c r="F54" s="54">
        <f ca="1">发票!F44</f>
        <v>0</v>
      </c>
      <c r="G54" s="55">
        <f ca="1">发票!G44</f>
        <v>0</v>
      </c>
      <c r="H54" s="56">
        <f ca="1">发票!H44</f>
        <v>0</v>
      </c>
      <c r="I54" s="58"/>
    </row>
    <row r="55" s="1" customFormat="1" ht="12" customHeight="1" spans="2:9">
      <c r="B55" s="50">
        <f ca="1">发票!C45</f>
        <v>0</v>
      </c>
      <c r="C55" s="51"/>
      <c r="D55" s="52">
        <f ca="1">发票!D45</f>
        <v>0</v>
      </c>
      <c r="E55" s="53">
        <f ca="1">发票!E45</f>
        <v>0</v>
      </c>
      <c r="F55" s="54">
        <f ca="1">发票!F45</f>
        <v>0</v>
      </c>
      <c r="G55" s="55">
        <f ca="1">发票!G45</f>
        <v>0</v>
      </c>
      <c r="H55" s="56">
        <f ca="1">发票!H45</f>
        <v>0</v>
      </c>
      <c r="I55" s="58"/>
    </row>
    <row r="56" s="1" customFormat="1" ht="12" customHeight="1" spans="2:9">
      <c r="B56" s="50">
        <f ca="1">发票!C46</f>
        <v>0</v>
      </c>
      <c r="C56" s="51"/>
      <c r="D56" s="52">
        <f ca="1">发票!D46</f>
        <v>0</v>
      </c>
      <c r="E56" s="53">
        <f ca="1">发票!E46</f>
        <v>0</v>
      </c>
      <c r="F56" s="54">
        <f ca="1">发票!F46</f>
        <v>0</v>
      </c>
      <c r="G56" s="55">
        <f ca="1">发票!G46</f>
        <v>0</v>
      </c>
      <c r="H56" s="56">
        <f ca="1">发票!H46</f>
        <v>0</v>
      </c>
      <c r="I56" s="58"/>
    </row>
    <row r="57" s="1" customFormat="1" ht="12" customHeight="1" spans="2:9">
      <c r="B57" s="50">
        <f ca="1">发票!C47</f>
        <v>0</v>
      </c>
      <c r="C57" s="51"/>
      <c r="D57" s="52">
        <f ca="1">发票!D47</f>
        <v>0</v>
      </c>
      <c r="E57" s="53">
        <f ca="1">发票!E47</f>
        <v>0</v>
      </c>
      <c r="F57" s="54">
        <f ca="1">发票!F47</f>
        <v>0</v>
      </c>
      <c r="G57" s="55">
        <f ca="1">发票!G47</f>
        <v>0</v>
      </c>
      <c r="H57" s="56">
        <f ca="1">发票!H47</f>
        <v>0</v>
      </c>
      <c r="I57" s="58"/>
    </row>
    <row r="58" s="1" customFormat="1" ht="12" customHeight="1" spans="2:9">
      <c r="B58" s="50">
        <f ca="1">发票!C48</f>
        <v>0</v>
      </c>
      <c r="C58" s="51"/>
      <c r="D58" s="52">
        <f ca="1">发票!D48</f>
        <v>0</v>
      </c>
      <c r="E58" s="53">
        <f ca="1">发票!E48</f>
        <v>0</v>
      </c>
      <c r="F58" s="54">
        <f ca="1">发票!F48</f>
        <v>0</v>
      </c>
      <c r="G58" s="55">
        <f ca="1">发票!G48</f>
        <v>0</v>
      </c>
      <c r="H58" s="56">
        <f ca="1">发票!H48</f>
        <v>0</v>
      </c>
      <c r="I58" s="58"/>
    </row>
    <row r="59" s="1" customFormat="1" ht="12" customHeight="1" spans="2:9">
      <c r="B59" s="50">
        <f ca="1">发票!C49</f>
        <v>0</v>
      </c>
      <c r="C59" s="51"/>
      <c r="D59" s="52">
        <f ca="1">发票!D49</f>
        <v>0</v>
      </c>
      <c r="E59" s="53">
        <f ca="1">发票!E49</f>
        <v>0</v>
      </c>
      <c r="F59" s="54">
        <f ca="1">发票!F49</f>
        <v>0</v>
      </c>
      <c r="G59" s="55">
        <f ca="1">发票!G49</f>
        <v>0</v>
      </c>
      <c r="H59" s="56">
        <f ca="1">发票!H49</f>
        <v>0</v>
      </c>
      <c r="I59" s="58"/>
    </row>
    <row r="60" s="1" customFormat="1" ht="12" customHeight="1" spans="2:9">
      <c r="B60" s="50">
        <f ca="1">发票!C50</f>
        <v>0</v>
      </c>
      <c r="C60" s="51"/>
      <c r="D60" s="52">
        <f ca="1">发票!D50</f>
        <v>0</v>
      </c>
      <c r="E60" s="53">
        <f ca="1">发票!E50</f>
        <v>0</v>
      </c>
      <c r="F60" s="54">
        <f ca="1">发票!F50</f>
        <v>0</v>
      </c>
      <c r="G60" s="55">
        <f ca="1">发票!G50</f>
        <v>0</v>
      </c>
      <c r="H60" s="56">
        <f ca="1">发票!H50</f>
        <v>0</v>
      </c>
      <c r="I60" s="58"/>
    </row>
    <row r="61" s="1" customFormat="1" ht="12" customHeight="1" spans="2:9">
      <c r="B61" s="50">
        <f ca="1">发票!C51</f>
        <v>0</v>
      </c>
      <c r="C61" s="51"/>
      <c r="D61" s="52">
        <f ca="1">发票!D51</f>
        <v>0</v>
      </c>
      <c r="E61" s="53">
        <f ca="1">发票!E51</f>
        <v>0</v>
      </c>
      <c r="F61" s="54">
        <f ca="1">发票!F51</f>
        <v>0</v>
      </c>
      <c r="G61" s="55">
        <f ca="1">发票!G51</f>
        <v>0</v>
      </c>
      <c r="H61" s="56">
        <f ca="1">发票!H51</f>
        <v>0</v>
      </c>
      <c r="I61" s="58"/>
    </row>
    <row r="62" s="1" customFormat="1" ht="12" customHeight="1" spans="2:9">
      <c r="B62" s="50">
        <f ca="1">发票!C52</f>
        <v>0</v>
      </c>
      <c r="C62" s="51"/>
      <c r="D62" s="52">
        <f ca="1">发票!D52</f>
        <v>0</v>
      </c>
      <c r="E62" s="53">
        <f ca="1">发票!E52</f>
        <v>0</v>
      </c>
      <c r="F62" s="54">
        <f ca="1">发票!F52</f>
        <v>0</v>
      </c>
      <c r="G62" s="55">
        <f ca="1">发票!G52</f>
        <v>0</v>
      </c>
      <c r="H62" s="56">
        <f ca="1">发票!H52</f>
        <v>0</v>
      </c>
      <c r="I62" s="58"/>
    </row>
    <row r="63" s="1" customFormat="1" ht="12" customHeight="1" spans="2:9">
      <c r="B63" s="50">
        <f ca="1">发票!C53</f>
        <v>0</v>
      </c>
      <c r="C63" s="51"/>
      <c r="D63" s="52">
        <f ca="1">发票!D53</f>
        <v>0</v>
      </c>
      <c r="E63" s="53">
        <f ca="1">发票!E53</f>
        <v>0</v>
      </c>
      <c r="F63" s="54">
        <f ca="1">发票!F53</f>
        <v>0</v>
      </c>
      <c r="G63" s="55">
        <f ca="1">发票!G53</f>
        <v>0</v>
      </c>
      <c r="H63" s="56">
        <f ca="1">发票!H53</f>
        <v>0</v>
      </c>
      <c r="I63" s="58"/>
    </row>
    <row r="64" s="1" customFormat="1" ht="12" customHeight="1" spans="2:9">
      <c r="B64" s="50">
        <f ca="1">发票!C54</f>
        <v>0</v>
      </c>
      <c r="C64" s="51"/>
      <c r="D64" s="52">
        <f ca="1">发票!D54</f>
        <v>0</v>
      </c>
      <c r="E64" s="53">
        <f ca="1">发票!E54</f>
        <v>0</v>
      </c>
      <c r="F64" s="54">
        <f ca="1">发票!F54</f>
        <v>0</v>
      </c>
      <c r="G64" s="55">
        <f ca="1">发票!G54</f>
        <v>0</v>
      </c>
      <c r="H64" s="56">
        <f ca="1">发票!H54</f>
        <v>0</v>
      </c>
      <c r="I64" s="58"/>
    </row>
    <row r="65" s="1" customFormat="1" ht="12" customHeight="1" spans="2:9">
      <c r="B65" s="50">
        <f ca="1">发票!C55</f>
        <v>0</v>
      </c>
      <c r="C65" s="51"/>
      <c r="D65" s="52">
        <f ca="1">发票!D55</f>
        <v>0</v>
      </c>
      <c r="E65" s="53">
        <f ca="1">发票!E55</f>
        <v>0</v>
      </c>
      <c r="F65" s="54">
        <f ca="1">发票!F55</f>
        <v>0</v>
      </c>
      <c r="G65" s="55">
        <f ca="1">发票!G55</f>
        <v>0</v>
      </c>
      <c r="H65" s="56">
        <f ca="1">发票!H55</f>
        <v>0</v>
      </c>
      <c r="I65" s="58"/>
    </row>
    <row r="66" s="1" customFormat="1" ht="12" customHeight="1" spans="2:9">
      <c r="B66" s="50">
        <f ca="1">发票!C56</f>
        <v>0</v>
      </c>
      <c r="C66" s="51"/>
      <c r="D66" s="52">
        <f ca="1">发票!D56</f>
        <v>0</v>
      </c>
      <c r="E66" s="53">
        <f ca="1">发票!E56</f>
        <v>0</v>
      </c>
      <c r="F66" s="54">
        <f ca="1">发票!F56</f>
        <v>0</v>
      </c>
      <c r="G66" s="55">
        <f ca="1">发票!G56</f>
        <v>0</v>
      </c>
      <c r="H66" s="56">
        <f ca="1">发票!H56</f>
        <v>0</v>
      </c>
      <c r="I66" s="58"/>
    </row>
    <row r="67" s="1" customFormat="1" ht="12" customHeight="1" spans="2:9">
      <c r="B67" s="50">
        <f ca="1">发票!C57</f>
        <v>0</v>
      </c>
      <c r="C67" s="51"/>
      <c r="D67" s="52">
        <f ca="1">发票!D57</f>
        <v>0</v>
      </c>
      <c r="E67" s="53">
        <f ca="1">发票!E57</f>
        <v>0</v>
      </c>
      <c r="F67" s="54">
        <f ca="1">发票!F57</f>
        <v>0</v>
      </c>
      <c r="G67" s="55">
        <f ca="1">发票!G57</f>
        <v>0</v>
      </c>
      <c r="H67" s="56">
        <f ca="1">发票!H57</f>
        <v>0</v>
      </c>
      <c r="I67" s="58"/>
    </row>
    <row r="68" s="1" customFormat="1" ht="12" customHeight="1" spans="2:9">
      <c r="B68" s="50">
        <f ca="1">发票!C58</f>
        <v>0</v>
      </c>
      <c r="C68" s="51"/>
      <c r="D68" s="52">
        <f ca="1">发票!D58</f>
        <v>0</v>
      </c>
      <c r="E68" s="53">
        <f ca="1">发票!E58</f>
        <v>0</v>
      </c>
      <c r="F68" s="54">
        <f ca="1">发票!F58</f>
        <v>0</v>
      </c>
      <c r="G68" s="55">
        <f ca="1">发票!G58</f>
        <v>0</v>
      </c>
      <c r="H68" s="56">
        <f ca="1">发票!H58</f>
        <v>0</v>
      </c>
      <c r="I68" s="58"/>
    </row>
    <row r="69" s="1" customFormat="1" ht="12" customHeight="1" spans="2:9">
      <c r="B69" s="50">
        <f ca="1">发票!C59</f>
        <v>0</v>
      </c>
      <c r="C69" s="51"/>
      <c r="D69" s="52">
        <f ca="1">发票!D59</f>
        <v>0</v>
      </c>
      <c r="E69" s="53">
        <f ca="1">发票!E59</f>
        <v>0</v>
      </c>
      <c r="F69" s="54">
        <f ca="1">发票!F59</f>
        <v>0</v>
      </c>
      <c r="G69" s="55">
        <f ca="1">发票!G59</f>
        <v>0</v>
      </c>
      <c r="H69" s="56">
        <f ca="1">发票!H59</f>
        <v>0</v>
      </c>
      <c r="I69" s="58"/>
    </row>
    <row r="70" ht="13.5" customHeight="1" spans="2:10">
      <c r="B70" s="40" t="s">
        <v>179</v>
      </c>
      <c r="C70" s="40"/>
      <c r="D70" s="39"/>
      <c r="E70" s="39"/>
      <c r="F70" s="59" t="s">
        <v>180</v>
      </c>
      <c r="G70" s="60" t="str">
        <f ca="1">G18</f>
        <v>{list.currency}</v>
      </c>
      <c r="H70" s="61">
        <f ca="1">SUM(H18:I69)</f>
        <v>0</v>
      </c>
      <c r="I70" s="61"/>
      <c r="J70" s="1"/>
    </row>
    <row r="71" ht="13.5" customHeight="1" spans="2:10">
      <c r="B71" s="62" t="s">
        <v>181</v>
      </c>
      <c r="C71" s="62"/>
      <c r="D71" s="62"/>
      <c r="E71" s="62"/>
      <c r="F71" s="63" t="s">
        <v>182</v>
      </c>
      <c r="G71" s="64"/>
      <c r="H71" s="65"/>
      <c r="I71" s="65"/>
      <c r="J71" s="1"/>
    </row>
    <row r="72" ht="13.5" customHeight="1" spans="2:10">
      <c r="B72" s="66" t="s">
        <v>183</v>
      </c>
      <c r="C72" s="67"/>
      <c r="D72" s="68" t="str">
        <f ca="1">IF(G70="CNY","总计人民币:",IF(G70="USD","总计美元: ","  "))</f>
        <v>  </v>
      </c>
      <c r="E72" s="69">
        <f ca="1">H70</f>
        <v>0</v>
      </c>
      <c r="F72" s="69"/>
      <c r="G72" s="69"/>
      <c r="H72" s="69"/>
      <c r="I72" s="69"/>
      <c r="J72" s="1"/>
    </row>
    <row r="73" ht="13.5" customHeight="1" spans="2:10">
      <c r="B73" s="39" t="s">
        <v>184</v>
      </c>
      <c r="C73" s="39"/>
      <c r="D73" s="68"/>
      <c r="E73" s="69"/>
      <c r="F73" s="69"/>
      <c r="G73" s="69"/>
      <c r="H73" s="69"/>
      <c r="I73" s="69"/>
      <c r="J73" s="1"/>
    </row>
    <row r="74" ht="13.5" customHeight="1" spans="2:10">
      <c r="B74" s="70" t="s">
        <v>185</v>
      </c>
      <c r="C74" s="71"/>
      <c r="D74" s="72"/>
      <c r="E74" s="73"/>
      <c r="F74" s="73"/>
      <c r="G74" s="73"/>
      <c r="H74" s="73"/>
      <c r="I74" s="73"/>
      <c r="J74" s="1"/>
    </row>
    <row r="75" ht="12" customHeight="1" spans="2:10">
      <c r="B75" s="39" t="s">
        <v>186</v>
      </c>
      <c r="C75" s="39"/>
      <c r="D75" s="73"/>
      <c r="E75" s="73"/>
      <c r="F75" s="73"/>
      <c r="G75" s="73"/>
      <c r="H75" s="73"/>
      <c r="I75" s="73"/>
      <c r="J75" s="1"/>
    </row>
    <row r="76" ht="13.5" customHeight="1" spans="2:10">
      <c r="B76" s="70" t="s">
        <v>187</v>
      </c>
      <c r="C76" s="70"/>
      <c r="D76" s="73"/>
      <c r="E76" s="73"/>
      <c r="F76" s="73"/>
      <c r="G76" s="73"/>
      <c r="H76" s="73"/>
      <c r="I76" s="73"/>
      <c r="J76" s="1"/>
    </row>
    <row r="77" ht="11.1" customHeight="1" spans="2:10">
      <c r="B77" s="70" t="s">
        <v>188</v>
      </c>
      <c r="C77" s="74">
        <f ca="1">TODAY()+15</f>
        <v>46179</v>
      </c>
      <c r="D77" s="74"/>
      <c r="E77" s="75" t="s">
        <v>189</v>
      </c>
      <c r="F77" s="70"/>
      <c r="G77" s="70"/>
      <c r="H77" s="8"/>
      <c r="I77" s="8"/>
      <c r="J77" s="1"/>
    </row>
    <row r="78" ht="13.5" customHeight="1" spans="2:10">
      <c r="B78" s="70" t="s">
        <v>190</v>
      </c>
      <c r="C78" s="76" t="str">
        <f>报关单!V3</f>
        <v>深圳</v>
      </c>
      <c r="D78" s="77" t="str">
        <f>箱单!D7</f>
        <v>{country}</v>
      </c>
      <c r="E78" s="67" t="s">
        <v>191</v>
      </c>
      <c r="F78" s="70"/>
      <c r="G78" s="70"/>
      <c r="H78" s="8"/>
      <c r="I78" s="8"/>
      <c r="J78" s="1"/>
    </row>
    <row r="79" ht="9.95" customHeight="1" spans="2:10">
      <c r="B79" s="70" t="s">
        <v>192</v>
      </c>
      <c r="C79" s="70"/>
      <c r="D79" s="70"/>
      <c r="E79" s="70"/>
      <c r="F79" s="70"/>
      <c r="G79" s="70"/>
      <c r="H79" s="70"/>
      <c r="I79" s="70"/>
      <c r="J79" s="1"/>
    </row>
    <row r="80" ht="13.5" customHeight="1" spans="2:10">
      <c r="B80" s="70" t="s">
        <v>193</v>
      </c>
      <c r="C80" s="70"/>
      <c r="D80" s="70"/>
      <c r="E80" s="70"/>
      <c r="F80" s="70"/>
      <c r="G80" s="39"/>
      <c r="H80" s="8"/>
      <c r="I80" s="8"/>
      <c r="J80" s="1"/>
    </row>
    <row r="81" ht="12" customHeight="1" spans="2:10">
      <c r="B81" s="39" t="s">
        <v>194</v>
      </c>
      <c r="C81" s="70"/>
      <c r="D81" s="70"/>
      <c r="E81" s="70"/>
      <c r="F81" s="70"/>
      <c r="G81" s="78"/>
      <c r="H81" s="8"/>
      <c r="I81" s="8"/>
      <c r="J81" s="1"/>
    </row>
    <row r="82" ht="13.5" customHeight="1" spans="2:10">
      <c r="B82" s="70" t="s">
        <v>195</v>
      </c>
      <c r="C82" s="79" t="str">
        <f>箱单!G7</f>
        <v>电汇</v>
      </c>
      <c r="D82" s="77"/>
      <c r="E82" s="70"/>
      <c r="F82" s="70"/>
      <c r="G82" s="80"/>
      <c r="H82" s="8"/>
      <c r="I82" s="8"/>
      <c r="J82" s="1"/>
    </row>
    <row r="83" ht="12" customHeight="1" spans="2:10">
      <c r="B83" s="70" t="s">
        <v>196</v>
      </c>
      <c r="C83" s="70"/>
      <c r="D83" s="70"/>
      <c r="E83" s="70"/>
      <c r="F83" s="70"/>
      <c r="G83" s="80"/>
      <c r="H83" s="8"/>
      <c r="I83" s="8"/>
      <c r="J83" s="1"/>
    </row>
    <row r="84" ht="13.5" customHeight="1" spans="2:10">
      <c r="B84" s="70" t="s">
        <v>197</v>
      </c>
      <c r="C84" s="76"/>
      <c r="D84" s="76"/>
      <c r="E84" s="76"/>
      <c r="F84" s="76"/>
      <c r="G84" s="76"/>
      <c r="H84" s="8"/>
      <c r="I84" s="8"/>
      <c r="J84" s="1"/>
    </row>
    <row r="85" ht="12" customHeight="1" spans="2:10">
      <c r="B85" s="70" t="s">
        <v>198</v>
      </c>
      <c r="C85" s="76"/>
      <c r="D85" s="76"/>
      <c r="E85" s="76"/>
      <c r="F85" s="76"/>
      <c r="G85" s="76"/>
      <c r="H85" s="8"/>
      <c r="I85" s="8"/>
      <c r="J85" s="1"/>
    </row>
    <row r="86" ht="13.5" hidden="1" customHeight="1" spans="2:10">
      <c r="B86" s="70"/>
      <c r="C86" s="76"/>
      <c r="D86" s="76"/>
      <c r="E86" s="76"/>
      <c r="F86" s="76"/>
      <c r="G86" s="76"/>
      <c r="H86" s="8"/>
      <c r="I86" s="8"/>
      <c r="J86" s="1"/>
    </row>
    <row r="87" ht="2.25" customHeight="1" spans="2:10">
      <c r="B87" s="70"/>
      <c r="C87" s="70"/>
      <c r="D87" s="70"/>
      <c r="E87" s="70"/>
      <c r="F87" s="70"/>
      <c r="G87" s="70"/>
      <c r="H87" s="8"/>
      <c r="I87" s="8"/>
      <c r="J87" s="1"/>
    </row>
    <row r="88" ht="9" customHeight="1" spans="2:10">
      <c r="B88" s="70"/>
      <c r="C88" s="70"/>
      <c r="D88" s="70"/>
      <c r="E88" s="70"/>
      <c r="F88" s="70"/>
      <c r="G88" s="70"/>
      <c r="H88" s="8"/>
      <c r="I88" s="8"/>
      <c r="J88" s="1"/>
    </row>
    <row r="89" ht="13.5" customHeight="1" spans="2:9">
      <c r="B89" s="81"/>
      <c r="D89" s="70"/>
      <c r="E89" s="81"/>
      <c r="H89" s="8"/>
      <c r="I89" s="8"/>
    </row>
    <row r="90" ht="13.5" customHeight="1" spans="2:9">
      <c r="B90" s="81"/>
      <c r="D90" s="70"/>
      <c r="E90" s="82"/>
      <c r="H90" s="8"/>
      <c r="I90" s="8"/>
    </row>
    <row r="91" ht="13.5" customHeight="1" spans="2:9">
      <c r="B91" s="80" t="s">
        <v>199</v>
      </c>
      <c r="D91" s="70"/>
      <c r="E91" s="83" t="s">
        <v>200</v>
      </c>
      <c r="H91" s="8"/>
      <c r="I91" s="8"/>
    </row>
    <row r="92" ht="13.5" customHeight="1" spans="2:9">
      <c r="B92" s="84" t="s">
        <v>201</v>
      </c>
      <c r="D92" s="70"/>
      <c r="E92" s="80" t="s">
        <v>202</v>
      </c>
      <c r="H92" s="8"/>
      <c r="I92" s="8"/>
    </row>
    <row r="93" ht="13.5" customHeight="1" spans="2:9">
      <c r="B93" s="70" t="s">
        <v>203</v>
      </c>
      <c r="D93" s="70"/>
      <c r="E93" s="70" t="s">
        <v>203</v>
      </c>
      <c r="H93" s="8"/>
      <c r="I93" s="8"/>
    </row>
    <row r="94" ht="9" customHeight="1" spans="2:9">
      <c r="B94" s="83"/>
      <c r="C94" s="83"/>
      <c r="D94" s="83"/>
      <c r="E94" s="83"/>
      <c r="F94" s="83"/>
      <c r="G94" s="83"/>
      <c r="H94" s="8"/>
      <c r="I94" s="8"/>
    </row>
    <row r="95" ht="13.5" customHeight="1"/>
    <row r="96" ht="13.5" customHeight="1"/>
  </sheetData>
  <mergeCells count="141">
    <mergeCell ref="B1:I1"/>
    <mergeCell ref="H2:I2"/>
    <mergeCell ref="G3:I3"/>
    <mergeCell ref="H4:I4"/>
    <mergeCell ref="H5:I5"/>
    <mergeCell ref="G6:I6"/>
    <mergeCell ref="H7:I7"/>
    <mergeCell ref="G8:I8"/>
    <mergeCell ref="H9:I9"/>
    <mergeCell ref="G10:I10"/>
    <mergeCell ref="H13:I13"/>
    <mergeCell ref="H14:I14"/>
    <mergeCell ref="B15:I15"/>
    <mergeCell ref="B16:C16"/>
    <mergeCell ref="G16:I16"/>
    <mergeCell ref="B17:C17"/>
    <mergeCell ref="G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6:C36"/>
    <mergeCell ref="H36:I36"/>
    <mergeCell ref="B37:C37"/>
    <mergeCell ref="H37:I37"/>
    <mergeCell ref="B38:C38"/>
    <mergeCell ref="H38:I38"/>
    <mergeCell ref="B39:C39"/>
    <mergeCell ref="H39:I39"/>
    <mergeCell ref="B40:C40"/>
    <mergeCell ref="H40:I40"/>
    <mergeCell ref="B41:C41"/>
    <mergeCell ref="H41:I41"/>
    <mergeCell ref="B42:C42"/>
    <mergeCell ref="H42:I42"/>
    <mergeCell ref="B43:C43"/>
    <mergeCell ref="H43:I43"/>
    <mergeCell ref="B44:C44"/>
    <mergeCell ref="H44:I44"/>
    <mergeCell ref="B45:C45"/>
    <mergeCell ref="H45:I45"/>
    <mergeCell ref="B46:C46"/>
    <mergeCell ref="H46:I46"/>
    <mergeCell ref="B47:C47"/>
    <mergeCell ref="H47:I47"/>
    <mergeCell ref="B48:C48"/>
    <mergeCell ref="H48:I48"/>
    <mergeCell ref="B49:C49"/>
    <mergeCell ref="H49:I49"/>
    <mergeCell ref="B50:C50"/>
    <mergeCell ref="H50:I50"/>
    <mergeCell ref="B51:C51"/>
    <mergeCell ref="H51:I51"/>
    <mergeCell ref="B52:C52"/>
    <mergeCell ref="H52:I52"/>
    <mergeCell ref="B53:C53"/>
    <mergeCell ref="H53:I53"/>
    <mergeCell ref="B54:C54"/>
    <mergeCell ref="H54:I54"/>
    <mergeCell ref="B55:C55"/>
    <mergeCell ref="H55:I55"/>
    <mergeCell ref="B56:C56"/>
    <mergeCell ref="H56:I56"/>
    <mergeCell ref="B57:C57"/>
    <mergeCell ref="H57:I57"/>
    <mergeCell ref="B58:C58"/>
    <mergeCell ref="H58:I58"/>
    <mergeCell ref="B59:C59"/>
    <mergeCell ref="H59:I59"/>
    <mergeCell ref="B60:C60"/>
    <mergeCell ref="H60:I60"/>
    <mergeCell ref="B61:C61"/>
    <mergeCell ref="H61:I61"/>
    <mergeCell ref="B62:C62"/>
    <mergeCell ref="H62:I62"/>
    <mergeCell ref="B63:C63"/>
    <mergeCell ref="H63:I63"/>
    <mergeCell ref="B64:C64"/>
    <mergeCell ref="H64:I64"/>
    <mergeCell ref="B65:C65"/>
    <mergeCell ref="H65:I65"/>
    <mergeCell ref="B66:C66"/>
    <mergeCell ref="H66:I66"/>
    <mergeCell ref="B67:C67"/>
    <mergeCell ref="H67:I67"/>
    <mergeCell ref="B68:C68"/>
    <mergeCell ref="H68:I68"/>
    <mergeCell ref="B69:C69"/>
    <mergeCell ref="H69:I69"/>
    <mergeCell ref="B71:E71"/>
    <mergeCell ref="E72:H72"/>
    <mergeCell ref="C77:D77"/>
    <mergeCell ref="C6:C7"/>
    <mergeCell ref="C12:C13"/>
    <mergeCell ref="E6:E7"/>
    <mergeCell ref="E12:E13"/>
    <mergeCell ref="F11:F12"/>
    <mergeCell ref="G11:G12"/>
    <mergeCell ref="G70:G71"/>
    <mergeCell ref="C8:E9"/>
    <mergeCell ref="C10:E11"/>
    <mergeCell ref="H11:I12"/>
    <mergeCell ref="C2:E3"/>
    <mergeCell ref="C4:E5"/>
    <mergeCell ref="H80:I94"/>
    <mergeCell ref="C84:G86"/>
    <mergeCell ref="D74:I76"/>
    <mergeCell ref="H77:I78"/>
    <mergeCell ref="H70:I71"/>
  </mergeCells>
  <pageMargins left="0.2" right="0.2" top="0.28" bottom="0.24" header="0.24" footer="0.08"/>
  <pageSetup paperSize="9" orientation="portrait" horizontalDpi="600" verticalDpi="600"/>
  <headerFooter alignWithMargins="0" scaleWithDoc="0"/>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4</vt:i4>
      </vt:variant>
    </vt:vector>
  </HeadingPairs>
  <TitlesOfParts>
    <vt:vector size="4" baseType="lpstr">
      <vt:lpstr>报关单</vt:lpstr>
      <vt:lpstr>发票</vt:lpstr>
      <vt:lpstr>箱单</vt:lpstr>
      <vt:lpstr>合同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刘飞</cp:lastModifiedBy>
  <dcterms:created xsi:type="dcterms:W3CDTF">2018-07-03T02:44:00Z</dcterms:created>
  <cp:lastPrinted>2018-10-22T06:55:00Z</cp:lastPrinted>
  <dcterms:modified xsi:type="dcterms:W3CDTF">2026-05-22T02:15:50Z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E65EF1B5965B43EDB4DB2682FD8C03E9_13</vt:lpwstr>
  </property>
  <property fmtid="{D5CDD505-2E9C-101B-9397-08002B2CF9AE}" pid="4" name="CalculationRule">
    <vt:i4>0</vt:i4>
  </property>
</Properties>
</file>